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Inicio" sheetId="1" state="visible" r:id="rId1"/>
    <sheet name="1. Checklist" sheetId="2" state="visible" r:id="rId2"/>
    <sheet name="2. Stakeholders-RACI" sheetId="3" state="visible" r:id="rId3"/>
    <sheet name="3. Inventario Integraciones" sheetId="4" state="visible" r:id="rId4"/>
    <sheet name="4. Cuestionario" sheetId="5" state="visible" r:id="rId5"/>
    <sheet name="5. Matriz Gaps" sheetId="6" state="visible" r:id="rId6"/>
    <sheet name="6. Riesgos-Dependenc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0B1F3A"/>
      <sz val="16"/>
    </font>
    <font>
      <name val="Arial"/>
      <i val="1"/>
      <color rgb="00555555"/>
      <sz val="10"/>
    </font>
    <font>
      <name val="Arial"/>
      <b val="1"/>
      <color rgb="001F5AA6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AA3333"/>
      <sz val="10"/>
    </font>
    <font>
      <name val="Arial"/>
      <i val="1"/>
      <color rgb="00000000"/>
      <sz val="10"/>
    </font>
    <font>
      <name val="Arial"/>
      <b val="1"/>
      <color rgb="00FFFFFF"/>
      <sz val="10"/>
    </font>
    <font>
      <name val="Arial"/>
      <b val="1"/>
      <color rgb="001F5AA6"/>
      <sz val="10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EEEEEE"/>
      </patternFill>
    </fill>
    <fill>
      <patternFill patternType="solid">
        <fgColor rgb="00DCE6F2"/>
      </patternFill>
    </fill>
    <fill>
      <patternFill patternType="solid">
        <fgColor rgb="000B1F3A"/>
      </patternFill>
    </fill>
    <fill>
      <patternFill patternType="solid">
        <fgColor rgb="001F5AA6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0" fontId="9" fillId="0" borderId="0" pivotButton="0" quotePrefix="0" xfId="0"/>
    <xf numFmtId="0" fontId="5" fillId="4" borderId="1" pivotButton="0" quotePrefix="0" xfId="0"/>
    <xf numFmtId="9" fontId="5" fillId="4" borderId="1" pivotButton="0" quotePrefix="0" xfId="0"/>
    <xf numFmtId="0" fontId="4" fillId="2" borderId="1" applyAlignment="1" pivotButton="0" quotePrefix="0" xfId="0">
      <alignment horizontal="center" vertical="top"/>
    </xf>
    <xf numFmtId="0" fontId="10" fillId="6" borderId="0" applyAlignment="1" pivotButton="0" quotePrefix="0" xfId="0">
      <alignment horizontal="center"/>
    </xf>
    <xf numFmtId="0" fontId="4" fillId="3" borderId="1" applyAlignment="1" pivotButton="0" quotePrefix="0" xfId="0">
      <alignment vertical="top" wrapText="1"/>
    </xf>
    <xf numFmtId="9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5AA6"/>
    <outlinePr summaryBelow="1" summaryRight="1"/>
    <pageSetUpPr/>
  </sheetPr>
  <dimension ref="B1:C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5" customWidth="1" min="3" max="3"/>
  </cols>
  <sheetData>
    <row r="1">
      <c r="B1" s="1" t="inlineStr">
        <is>
          <t>Assessment y Diseño – Control SOX de Monitoreo de Interfaces</t>
        </is>
      </c>
    </row>
    <row r="2">
      <c r="B2" s="2" t="inlineStr">
        <is>
          <t>Etapa 1 (2 sprints) · Proyectos IFRS17 y TraMos · Plantilla de trabajo basada en la propuesta NTT DATA – SURA (sep-2026)</t>
        </is>
      </c>
    </row>
    <row r="4">
      <c r="B4" s="3" t="inlineStr">
        <is>
          <t>OBJETIVO DE LA ETAPA</t>
        </is>
      </c>
    </row>
    <row r="5" ht="30" customHeight="1">
      <c r="B5" s="4" t="inlineStr">
        <is>
          <t>Analizar las arquitecturas de capa media de IFRS17 y TraMos para identificar gaps de observabilidad y completitud de datos, y diseñar el activo de monitoreo SOX (observar → correlacionar → validar control y reportar).</t>
        </is>
      </c>
    </row>
    <row r="7">
      <c r="B7" s="3" t="inlineStr">
        <is>
          <t>PILARES DEL CONTROL A EVALUAR</t>
        </is>
      </c>
    </row>
    <row r="8">
      <c r="B8" s="5" t="inlineStr">
        <is>
          <t>1. Ejecución</t>
        </is>
      </c>
      <c r="C8" s="4" t="inlineStr">
        <is>
          <t>La interfaz se ejecuta y se detectan fallas, interrupciones, rechazos o ejecuciones incompletas.</t>
        </is>
      </c>
    </row>
    <row r="9">
      <c r="B9" s="5" t="inlineStr">
        <is>
          <t>2. Completitud y oportunidad</t>
        </is>
      </c>
      <c r="C9" s="4" t="inlineStr">
        <is>
          <t>La información llega completa y dentro de los tiempos esperados al sistema destino.</t>
        </is>
      </c>
    </row>
    <row r="10">
      <c r="B10" s="5" t="inlineStr">
        <is>
          <t>3. Gestión de excepciones</t>
        </is>
      </c>
      <c r="C10" s="4" t="inlineStr">
        <is>
          <t>La falla se detecta, analiza, reprocesa cuando corresponde y se escala con incidente si persiste.</t>
        </is>
      </c>
    </row>
    <row r="11">
      <c r="B11" s="5" t="inlineStr">
        <is>
          <t>4. Trazabilidad y evidencia</t>
        </is>
      </c>
      <c r="C11" s="4" t="inlineStr">
        <is>
          <t>Queda evidencia auditable: causa, tratamiento, resultado final e incidente cuando aplique.</t>
        </is>
      </c>
    </row>
    <row r="12">
      <c r="B12" s="6" t="inlineStr">
        <is>
          <t>Fuera de alcance: exactitud contable de campos/reglas financieras (requiere controles de datos adicionales).</t>
        </is>
      </c>
    </row>
    <row r="14">
      <c r="B14" s="3" t="inlineStr">
        <is>
          <t>¿POR DÓNDE EMPEZAR? (orden sugerido)</t>
        </is>
      </c>
    </row>
    <row r="15" ht="28" customHeight="1">
      <c r="B15" s="5" t="inlineStr">
        <is>
          <t>Paso 1 – Semana 0</t>
        </is>
      </c>
      <c r="C15" s="4" t="inlineStr">
        <is>
          <t>Kickoff + accesos + stakeholders. Use hojas '1. Checklist' (fase Arranque) y '2. Stakeholders-RACI'.</t>
        </is>
      </c>
    </row>
    <row r="16" ht="28" customHeight="1">
      <c r="B16" s="5" t="inlineStr">
        <is>
          <t>Paso 2 – Semana 0/1</t>
        </is>
      </c>
      <c r="C16" s="4" t="inlineStr">
        <is>
          <t>Obtener la definición formal del control SOX (narrativa / RCM) y qué evidencia espera auditoría. Sin esto no hay criterio para medir gaps.</t>
        </is>
      </c>
    </row>
    <row r="17" ht="28" customHeight="1">
      <c r="B17" s="5" t="inlineStr">
        <is>
          <t>Paso 3 – Sprint 1</t>
        </is>
      </c>
      <c r="C17" s="4" t="inlineStr">
        <is>
          <t>Inventariar las integraciones IFRS17 y TraMos y marcar las priorizadas SOX. Hoja '3. Inventario Integraciones'.</t>
        </is>
      </c>
    </row>
    <row r="18" ht="28" customHeight="1">
      <c r="B18" s="5" t="inlineStr">
        <is>
          <t>Paso 4 – Sprint 1</t>
        </is>
      </c>
      <c r="C18" s="4" t="inlineStr">
        <is>
          <t>Entrevistas guiadas por audiencia. Hoja '4. Cuestionario'.</t>
        </is>
      </c>
    </row>
    <row r="19" ht="28" customHeight="1">
      <c r="B19" s="5" t="inlineStr">
        <is>
          <t>Paso 5 – Sprint 1/2</t>
        </is>
      </c>
      <c r="C19" s="4" t="inlineStr">
        <is>
          <t>Evaluar cada integración contra los criterios de observabilidad (Sí/Parcial/No). El % de madurez se calcula solo en la hoja 3.</t>
        </is>
      </c>
    </row>
    <row r="20" ht="28" customHeight="1">
      <c r="B20" s="5" t="inlineStr">
        <is>
          <t>Paso 6 – Sprint 2</t>
        </is>
      </c>
      <c r="C20" s="4" t="inlineStr">
        <is>
          <t>Registrar gaps con impacto/probabilidad y plan de acción. Hoja '5. Matriz Gaps'.</t>
        </is>
      </c>
    </row>
    <row r="21" ht="28" customHeight="1">
      <c r="B21" s="5" t="inlineStr">
        <is>
          <t>Paso 7 – Sprint 2</t>
        </is>
      </c>
      <c r="C21" s="4" t="inlineStr">
        <is>
          <t>Riesgos y dependencias sobre IFRS17/TraMos. Hoja '6. Riesgos-Dependencias'.</t>
        </is>
      </c>
    </row>
    <row r="22" ht="28" customHeight="1">
      <c r="B22" s="5" t="inlineStr">
        <is>
          <t>Paso 8 – Cierre Sprint 2</t>
        </is>
      </c>
      <c r="C22" s="4" t="inlineStr">
        <is>
          <t>Diseño de arquitectura del activo, plan detallado, pilotos y dimensionamiento del Equipo Gaps (hito 'Dimensionamiento capacidad'). Presentar en Sprint Review / comité táctico.</t>
        </is>
      </c>
    </row>
    <row r="24">
      <c r="B24" s="3" t="inlineStr">
        <is>
          <t>LEYENDA</t>
        </is>
      </c>
    </row>
    <row r="25">
      <c r="B25" s="7" t="inlineStr"/>
      <c r="C25" s="8" t="inlineStr">
        <is>
          <t>Celda amarilla = para diligenciar</t>
        </is>
      </c>
    </row>
    <row r="26">
      <c r="B26" s="9" t="inlineStr"/>
      <c r="C26" s="8" t="inlineStr">
        <is>
          <t>Fila gris = ejemplo de formato (reemplazar o borrar)</t>
        </is>
      </c>
    </row>
    <row r="27">
      <c r="B27" s="10" t="inlineStr"/>
      <c r="C27" s="8" t="inlineStr">
        <is>
          <t>Celda azul claro = calculada por fórmula (no editar)</t>
        </is>
      </c>
    </row>
    <row r="28">
      <c r="B28" s="11" t="inlineStr">
        <is>
          <t>Estados: Pendiente · En curso · Completado · Bloqueado · N/A</t>
        </is>
      </c>
    </row>
  </sheetData>
  <mergeCells count="2">
    <mergeCell ref="B5:C5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0" customWidth="1" min="3" max="3"/>
    <col width="30" customWidth="1" min="4" max="4"/>
    <col width="18" customWidth="1" min="5" max="5"/>
    <col width="18" customWidth="1" min="6" max="6"/>
    <col width="13" customWidth="1" min="7" max="7"/>
    <col width="13" customWidth="1" min="8" max="8"/>
    <col width="28" customWidth="1" min="9" max="9"/>
    <col width="30" customWidth="1" min="10" max="10"/>
  </cols>
  <sheetData>
    <row r="1">
      <c r="A1" s="1" t="inlineStr">
        <is>
          <t>Checklist Etapa 1 – Assessment y Diseño</t>
        </is>
      </c>
    </row>
    <row r="2" ht="32" customHeight="1">
      <c r="A2" s="12" t="inlineStr">
        <is>
          <t>Diligencie Responsable, Contraparte, Fecha, Estado, Evidencia y Observaciones (celdas amarillas). El avance se calcula automáticamente al final.</t>
        </is>
      </c>
    </row>
    <row r="4" ht="34" customHeight="1">
      <c r="A4" s="13" t="inlineStr">
        <is>
          <t>ID</t>
        </is>
      </c>
      <c r="B4" s="13" t="inlineStr">
        <is>
          <t>Fase</t>
        </is>
      </c>
      <c r="C4" s="13" t="inlineStr">
        <is>
          <t>Actividad</t>
        </is>
      </c>
      <c r="D4" s="13" t="inlineStr">
        <is>
          <t>Entregable de la propuesta</t>
        </is>
      </c>
      <c r="E4" s="13" t="inlineStr">
        <is>
          <t>Responsable NTT</t>
        </is>
      </c>
      <c r="F4" s="13" t="inlineStr">
        <is>
          <t>Contraparte SURA</t>
        </is>
      </c>
      <c r="G4" s="13" t="inlineStr">
        <is>
          <t>Fecha objetivo</t>
        </is>
      </c>
      <c r="H4" s="13" t="inlineStr">
        <is>
          <t>Estado</t>
        </is>
      </c>
      <c r="I4" s="13" t="inlineStr">
        <is>
          <t>Evidencia / link</t>
        </is>
      </c>
      <c r="J4" s="13" t="inlineStr">
        <is>
          <t>Observaciones</t>
        </is>
      </c>
    </row>
    <row r="5">
      <c r="A5" s="14" t="inlineStr">
        <is>
          <t>A-01</t>
        </is>
      </c>
      <c r="B5" s="14" t="inlineStr">
        <is>
          <t>Arranque (Sem 0)</t>
        </is>
      </c>
      <c r="C5" s="14" t="inlineStr">
        <is>
          <t>Kickoff: validar alcance, objetivos, pilares del control, cronograma y criterios de éxito de la Etapa 1</t>
        </is>
      </c>
      <c r="D5" s="14" t="inlineStr">
        <is>
          <t>Gobierno / habilitación</t>
        </is>
      </c>
      <c r="E5" s="15" t="inlineStr">
        <is>
          <t>Gestor SOX</t>
        </is>
      </c>
      <c r="F5" s="15" t="inlineStr"/>
      <c r="G5" s="16" t="inlineStr"/>
      <c r="H5" s="15" t="inlineStr">
        <is>
          <t>Pendiente</t>
        </is>
      </c>
      <c r="I5" s="15" t="inlineStr"/>
      <c r="J5" s="15" t="inlineStr"/>
    </row>
    <row r="6">
      <c r="A6" s="14" t="inlineStr">
        <is>
          <t>A-02</t>
        </is>
      </c>
      <c r="B6" s="14" t="inlineStr">
        <is>
          <t>Arranque (Sem 0)</t>
        </is>
      </c>
      <c r="C6" s="14" t="inlineStr">
        <is>
          <t>Definir interlocutores y armar matriz RACI (dueño control SOX, riesgos, arquitectura, IFRS17, TraMos, SAP, observabilidad, soporte/ITSM)</t>
        </is>
      </c>
      <c r="D6" s="14" t="inlineStr">
        <is>
          <t>Gobierno / habilitación</t>
        </is>
      </c>
      <c r="E6" s="15" t="inlineStr">
        <is>
          <t>Gestor SOX</t>
        </is>
      </c>
      <c r="F6" s="15" t="inlineStr"/>
      <c r="G6" s="16" t="inlineStr"/>
      <c r="H6" s="15" t="inlineStr">
        <is>
          <t>Pendiente</t>
        </is>
      </c>
      <c r="I6" s="15" t="inlineStr"/>
      <c r="J6" s="15" t="inlineStr"/>
    </row>
    <row r="7">
      <c r="A7" s="14" t="inlineStr">
        <is>
          <t>A-03</t>
        </is>
      </c>
      <c r="B7" s="14" t="inlineStr">
        <is>
          <t>Arranque (Sem 0)</t>
        </is>
      </c>
      <c r="C7" s="14" t="inlineStr">
        <is>
          <t>Solicitar estándares de desarrollo y arquitectura SURA (premisa de la propuesta)</t>
        </is>
      </c>
      <c r="D7" s="14" t="inlineStr">
        <is>
          <t>Gobierno / habilitación</t>
        </is>
      </c>
      <c r="E7" s="15" t="inlineStr">
        <is>
          <t>Arq Integraciones</t>
        </is>
      </c>
      <c r="F7" s="15" t="inlineStr"/>
      <c r="G7" s="16" t="inlineStr"/>
      <c r="H7" s="15" t="inlineStr">
        <is>
          <t>Pendiente</t>
        </is>
      </c>
      <c r="I7" s="15" t="inlineStr"/>
      <c r="J7" s="15" t="inlineStr"/>
    </row>
    <row r="8">
      <c r="A8" s="14" t="inlineStr">
        <is>
          <t>A-04</t>
        </is>
      </c>
      <c r="B8" s="14" t="inlineStr">
        <is>
          <t>Arranque (Sem 0)</t>
        </is>
      </c>
      <c r="C8" s="14" t="inlineStr">
        <is>
          <t>Solicitar accesos: entornos dev/lab/prod (lectura), herramienta de observabilidad, ITSM, repositorios, documentación de capa media</t>
        </is>
      </c>
      <c r="D8" s="14" t="inlineStr">
        <is>
          <t>Gobierno / habilitación</t>
        </is>
      </c>
      <c r="E8" s="15" t="inlineStr">
        <is>
          <t>Gestor SOX</t>
        </is>
      </c>
      <c r="F8" s="15" t="inlineStr"/>
      <c r="G8" s="16" t="inlineStr"/>
      <c r="H8" s="15" t="inlineStr">
        <is>
          <t>Pendiente</t>
        </is>
      </c>
      <c r="I8" s="15" t="inlineStr"/>
      <c r="J8" s="15" t="inlineStr"/>
    </row>
    <row r="9">
      <c r="A9" s="14" t="inlineStr">
        <is>
          <t>A-05</t>
        </is>
      </c>
      <c r="B9" s="14" t="inlineStr">
        <is>
          <t>Arranque (Sem 0)</t>
        </is>
      </c>
      <c r="C9" s="14" t="inlineStr">
        <is>
          <t>Acordar ceremonias y gobierno: daily, refinamiento, review; comité táctico semanal y estratégico mensual</t>
        </is>
      </c>
      <c r="D9" s="14" t="inlineStr">
        <is>
          <t>Gobierno / habilitación</t>
        </is>
      </c>
      <c r="E9" s="15" t="inlineStr">
        <is>
          <t>Gestor SOX</t>
        </is>
      </c>
      <c r="F9" s="15" t="inlineStr"/>
      <c r="G9" s="16" t="inlineStr"/>
      <c r="H9" s="15" t="inlineStr">
        <is>
          <t>Pendiente</t>
        </is>
      </c>
      <c r="I9" s="15" t="inlineStr"/>
      <c r="J9" s="15" t="inlineStr"/>
    </row>
    <row r="10">
      <c r="A10" s="14" t="inlineStr">
        <is>
          <t>A-06</t>
        </is>
      </c>
      <c r="B10" s="14" t="inlineStr">
        <is>
          <t>Arranque (Sem 0)</t>
        </is>
      </c>
      <c r="C10" s="14" t="inlineStr">
        <is>
          <t>Crear backlog (HUs del assessment) y repositorio documental del proyecto</t>
        </is>
      </c>
      <c r="D10" s="14" t="inlineStr">
        <is>
          <t>Gobierno / habilitación</t>
        </is>
      </c>
      <c r="E10" s="15" t="inlineStr">
        <is>
          <t>Gestor SOX</t>
        </is>
      </c>
      <c r="F10" s="15" t="inlineStr"/>
      <c r="G10" s="16" t="inlineStr"/>
      <c r="H10" s="15" t="inlineStr">
        <is>
          <t>Pendiente</t>
        </is>
      </c>
      <c r="I10" s="15" t="inlineStr"/>
      <c r="J10" s="15" t="inlineStr"/>
    </row>
    <row r="11">
      <c r="A11" s="14" t="inlineStr">
        <is>
          <t>A-07</t>
        </is>
      </c>
      <c r="B11" s="14" t="inlineStr">
        <is>
          <t>Arranque (Sem 0)</t>
        </is>
      </c>
      <c r="C11" s="14" t="inlineStr">
        <is>
          <t>Obtener definición formal del control SOX: narrativa, RCM (matriz riesgos-controles), frecuencia, evidencia esperada por auditoría</t>
        </is>
      </c>
      <c r="D11" s="14" t="inlineStr">
        <is>
          <t>Diseño detallado solución</t>
        </is>
      </c>
      <c r="E11" s="15" t="inlineStr">
        <is>
          <t>Gestor SOX</t>
        </is>
      </c>
      <c r="F11" s="15" t="inlineStr"/>
      <c r="G11" s="16" t="inlineStr"/>
      <c r="H11" s="15" t="inlineStr">
        <is>
          <t>Pendiente</t>
        </is>
      </c>
      <c r="I11" s="15" t="inlineStr"/>
      <c r="J11" s="15" t="inlineStr"/>
    </row>
    <row r="12">
      <c r="A12" s="14" t="inlineStr">
        <is>
          <t>A-08</t>
        </is>
      </c>
      <c r="B12" s="14" t="inlineStr">
        <is>
          <t>Sprint 1</t>
        </is>
      </c>
      <c r="C12" s="14" t="inlineStr">
        <is>
          <t>Entender el control: qué es 'excepción', umbrales de oportunidad (SLA de llegada), criterios de completitud, tiempos de escalamiento</t>
        </is>
      </c>
      <c r="D12" s="14" t="inlineStr">
        <is>
          <t>Diseño detallado solución</t>
        </is>
      </c>
      <c r="E12" s="15" t="inlineStr">
        <is>
          <t>Gestor SOX</t>
        </is>
      </c>
      <c r="F12" s="15" t="inlineStr"/>
      <c r="G12" s="16" t="inlineStr"/>
      <c r="H12" s="15" t="inlineStr">
        <is>
          <t>Pendiente</t>
        </is>
      </c>
      <c r="I12" s="15" t="inlineStr"/>
      <c r="J12" s="15" t="inlineStr"/>
    </row>
    <row r="13">
      <c r="A13" s="14" t="inlineStr">
        <is>
          <t>A-09</t>
        </is>
      </c>
      <c r="B13" s="14" t="inlineStr">
        <is>
          <t>Sprint 1</t>
        </is>
      </c>
      <c r="C13" s="14" t="inlineStr">
        <is>
          <t>Levantar inventario de integraciones IFRS17 y TraMos (origen, capa media, destino, patrón, frecuencia, volumen)</t>
        </is>
      </c>
      <c r="D13" s="14" t="inlineStr">
        <is>
          <t>Listado integraciones</t>
        </is>
      </c>
      <c r="E13" s="15" t="inlineStr">
        <is>
          <t>Arq Integraciones</t>
        </is>
      </c>
      <c r="F13" s="15" t="inlineStr"/>
      <c r="G13" s="16" t="inlineStr"/>
      <c r="H13" s="15" t="inlineStr">
        <is>
          <t>Pendiente</t>
        </is>
      </c>
      <c r="I13" s="15" t="inlineStr"/>
      <c r="J13" s="15" t="inlineStr"/>
    </row>
    <row r="14">
      <c r="A14" s="14" t="inlineStr">
        <is>
          <t>A-10</t>
        </is>
      </c>
      <c r="B14" s="14" t="inlineStr">
        <is>
          <t>Sprint 1</t>
        </is>
      </c>
      <c r="C14" s="14" t="inlineStr">
        <is>
          <t>Identificar y validar con el dueño del control cuáles integraciones están priorizadas SOX</t>
        </is>
      </c>
      <c r="D14" s="14" t="inlineStr">
        <is>
          <t>Listado integraciones</t>
        </is>
      </c>
      <c r="E14" s="15" t="inlineStr">
        <is>
          <t>Gestor SOX</t>
        </is>
      </c>
      <c r="F14" s="15" t="inlineStr"/>
      <c r="G14" s="16" t="inlineStr"/>
      <c r="H14" s="15" t="inlineStr">
        <is>
          <t>Pendiente</t>
        </is>
      </c>
      <c r="I14" s="15" t="inlineStr"/>
      <c r="J14" s="15" t="inlineStr"/>
    </row>
    <row r="15">
      <c r="A15" s="14" t="inlineStr">
        <is>
          <t>A-11</t>
        </is>
      </c>
      <c r="B15" s="14" t="inlineStr">
        <is>
          <t>Sprint 1</t>
        </is>
      </c>
      <c r="C15" s="14" t="inlineStr">
        <is>
          <t>Revisar diagramas de arquitectura de capa media (API gateway, ESB/iPaaS, eventos, batch/SFTP) y conexión a SAP ECC / S/4HANA</t>
        </is>
      </c>
      <c r="D15" s="14" t="inlineStr">
        <is>
          <t>Assessment capa media</t>
        </is>
      </c>
      <c r="E15" s="15" t="inlineStr">
        <is>
          <t>Arq Integraciones</t>
        </is>
      </c>
      <c r="F15" s="15" t="inlineStr"/>
      <c r="G15" s="16" t="inlineStr"/>
      <c r="H15" s="15" t="inlineStr">
        <is>
          <t>Pendiente</t>
        </is>
      </c>
      <c r="I15" s="15" t="inlineStr"/>
      <c r="J15" s="15" t="inlineStr"/>
    </row>
    <row r="16">
      <c r="A16" s="14" t="inlineStr">
        <is>
          <t>A-12</t>
        </is>
      </c>
      <c r="B16" s="14" t="inlineStr">
        <is>
          <t>Sprint 1</t>
        </is>
      </c>
      <c r="C16" s="14" t="inlineStr">
        <is>
          <t>Entrevistas con equipos de arquitectura y proyectos IFRS17 y TraMos (usar hoja 4)</t>
        </is>
      </c>
      <c r="D16" s="14" t="inlineStr">
        <is>
          <t>Assessment capa media</t>
        </is>
      </c>
      <c r="E16" s="15" t="inlineStr">
        <is>
          <t>Arq Integraciones</t>
        </is>
      </c>
      <c r="F16" s="15" t="inlineStr"/>
      <c r="G16" s="16" t="inlineStr"/>
      <c r="H16" s="15" t="inlineStr">
        <is>
          <t>Pendiente</t>
        </is>
      </c>
      <c r="I16" s="15" t="inlineStr"/>
      <c r="J16" s="15" t="inlineStr"/>
    </row>
    <row r="17">
      <c r="A17" s="14" t="inlineStr">
        <is>
          <t>A-13</t>
        </is>
      </c>
      <c r="B17" s="14" t="inlineStr">
        <is>
          <t>Sprint 1</t>
        </is>
      </c>
      <c r="C17" s="14" t="inlineStr">
        <is>
          <t>Inventariar la observabilidad actual: backend, cobertura de logs, trazas, métricas, dashboards, retención</t>
        </is>
      </c>
      <c r="D17" s="14" t="inlineStr">
        <is>
          <t>Assessment capa media</t>
        </is>
      </c>
      <c r="E17" s="15" t="inlineStr">
        <is>
          <t>Arq Cloud IA</t>
        </is>
      </c>
      <c r="F17" s="15" t="inlineStr"/>
      <c r="G17" s="16" t="inlineStr"/>
      <c r="H17" s="15" t="inlineStr">
        <is>
          <t>Pendiente</t>
        </is>
      </c>
      <c r="I17" s="15" t="inlineStr"/>
      <c r="J17" s="15" t="inlineStr"/>
    </row>
    <row r="18">
      <c r="A18" s="14" t="inlineStr">
        <is>
          <t>A-14</t>
        </is>
      </c>
      <c r="B18" s="14" t="inlineStr">
        <is>
          <t>Sprint 1</t>
        </is>
      </c>
      <c r="C18" s="14" t="inlineStr">
        <is>
          <t>Verificar propagación de correlation-id / traceparent extremo a extremo (App → capa media → SAP)</t>
        </is>
      </c>
      <c r="D18" s="14" t="inlineStr">
        <is>
          <t>Assessment capa media</t>
        </is>
      </c>
      <c r="E18" s="15" t="inlineStr">
        <is>
          <t>Arq Cloud IA</t>
        </is>
      </c>
      <c r="F18" s="15" t="inlineStr"/>
      <c r="G18" s="16" t="inlineStr"/>
      <c r="H18" s="15" t="inlineStr">
        <is>
          <t>Pendiente</t>
        </is>
      </c>
      <c r="I18" s="15" t="inlineStr"/>
      <c r="J18" s="15" t="inlineStr"/>
    </row>
    <row r="19">
      <c r="A19" s="14" t="inlineStr">
        <is>
          <t>A-15</t>
        </is>
      </c>
      <c r="B19" s="14" t="inlineStr">
        <is>
          <t>Sprint 1</t>
        </is>
      </c>
      <c r="C19" s="14" t="inlineStr">
        <is>
          <t>Revisar alertamiento existente y broker de mensajería disponible (para publicar eventos de anomalía)</t>
        </is>
      </c>
      <c r="D19" s="14" t="inlineStr">
        <is>
          <t>Assessment capa media</t>
        </is>
      </c>
      <c r="E19" s="15" t="inlineStr">
        <is>
          <t>Arq Cloud IA</t>
        </is>
      </c>
      <c r="F19" s="15" t="inlineStr"/>
      <c r="G19" s="16" t="inlineStr"/>
      <c r="H19" s="15" t="inlineStr">
        <is>
          <t>Pendiente</t>
        </is>
      </c>
      <c r="I19" s="15" t="inlineStr"/>
      <c r="J19" s="15" t="inlineStr"/>
    </row>
    <row r="20">
      <c r="A20" s="14" t="inlineStr">
        <is>
          <t>A-16</t>
        </is>
      </c>
      <c r="B20" s="14" t="inlineStr">
        <is>
          <t>Sprint 1</t>
        </is>
      </c>
      <c r="C20" s="14" t="inlineStr">
        <is>
          <t>Revisar proceso actual de gestión de fallas: reprocesos, escalamiento, creación de incidentes en ITSM y APIs disponibles</t>
        </is>
      </c>
      <c r="D20" s="14" t="inlineStr">
        <is>
          <t>Assessment capa media</t>
        </is>
      </c>
      <c r="E20" s="15" t="inlineStr">
        <is>
          <t>Arq Integraciones</t>
        </is>
      </c>
      <c r="F20" s="15" t="inlineStr"/>
      <c r="G20" s="16" t="inlineStr"/>
      <c r="H20" s="15" t="inlineStr">
        <is>
          <t>Pendiente</t>
        </is>
      </c>
      <c r="I20" s="15" t="inlineStr"/>
      <c r="J20" s="15" t="inlineStr"/>
    </row>
    <row r="21">
      <c r="A21" s="14" t="inlineStr">
        <is>
          <t>A-17</t>
        </is>
      </c>
      <c r="B21" s="14" t="inlineStr">
        <is>
          <t>Sprint 1</t>
        </is>
      </c>
      <c r="C21" s="14" t="inlineStr">
        <is>
          <t>Revisar cómo se evidencia HOY la ejecución del control (manual/automático) y hallazgos previos de auditoría</t>
        </is>
      </c>
      <c r="D21" s="14" t="inlineStr">
        <is>
          <t>Diseño detallado solución</t>
        </is>
      </c>
      <c r="E21" s="15" t="inlineStr">
        <is>
          <t>Gestor SOX</t>
        </is>
      </c>
      <c r="F21" s="15" t="inlineStr"/>
      <c r="G21" s="16" t="inlineStr"/>
      <c r="H21" s="15" t="inlineStr">
        <is>
          <t>Pendiente</t>
        </is>
      </c>
      <c r="I21" s="15" t="inlineStr"/>
      <c r="J21" s="15" t="inlineStr"/>
    </row>
    <row r="22">
      <c r="A22" s="14" t="inlineStr">
        <is>
          <t>A-18</t>
        </is>
      </c>
      <c r="B22" s="14" t="inlineStr">
        <is>
          <t>Sprint 1</t>
        </is>
      </c>
      <c r="C22" s="14" t="inlineStr">
        <is>
          <t>Validar retención de logs/evidencia vs. requerimientos de auditoría SOX</t>
        </is>
      </c>
      <c r="D22" s="14" t="inlineStr">
        <is>
          <t>Assessment capa media</t>
        </is>
      </c>
      <c r="E22" s="15" t="inlineStr">
        <is>
          <t>Arq Cloud IA</t>
        </is>
      </c>
      <c r="F22" s="15" t="inlineStr"/>
      <c r="G22" s="16" t="inlineStr"/>
      <c r="H22" s="15" t="inlineStr">
        <is>
          <t>Pendiente</t>
        </is>
      </c>
      <c r="I22" s="15" t="inlineStr"/>
      <c r="J22" s="15" t="inlineStr"/>
    </row>
    <row r="23">
      <c r="A23" s="14" t="inlineStr">
        <is>
          <t>A-19</t>
        </is>
      </c>
      <c r="B23" s="14" t="inlineStr">
        <is>
          <t>Sprint 1</t>
        </is>
      </c>
      <c r="C23" s="14" t="inlineStr">
        <is>
          <t>Sprint Review 1: presentar inventario y hallazgos preliminares</t>
        </is>
      </c>
      <c r="D23" s="14" t="inlineStr">
        <is>
          <t>Gobierno / habilitación</t>
        </is>
      </c>
      <c r="E23" s="15" t="inlineStr">
        <is>
          <t>Gestor SOX</t>
        </is>
      </c>
      <c r="F23" s="15" t="inlineStr"/>
      <c r="G23" s="16" t="inlineStr"/>
      <c r="H23" s="15" t="inlineStr">
        <is>
          <t>Pendiente</t>
        </is>
      </c>
      <c r="I23" s="15" t="inlineStr"/>
      <c r="J23" s="15" t="inlineStr"/>
    </row>
    <row r="24">
      <c r="A24" s="14" t="inlineStr">
        <is>
          <t>A-20</t>
        </is>
      </c>
      <c r="B24" s="14" t="inlineStr">
        <is>
          <t>Sprint 2</t>
        </is>
      </c>
      <c r="C24" s="14" t="inlineStr">
        <is>
          <t>Evaluar cada integración priorizada contra los criterios de observabilidad (hoja 3) y calcular madurez</t>
        </is>
      </c>
      <c r="D24" s="14" t="inlineStr">
        <is>
          <t>Assessment capa media</t>
        </is>
      </c>
      <c r="E24" s="15" t="inlineStr">
        <is>
          <t>Arq Integraciones</t>
        </is>
      </c>
      <c r="F24" s="15" t="inlineStr"/>
      <c r="G24" s="16" t="inlineStr"/>
      <c r="H24" s="15" t="inlineStr">
        <is>
          <t>Pendiente</t>
        </is>
      </c>
      <c r="I24" s="15" t="inlineStr"/>
      <c r="J24" s="15" t="inlineStr"/>
    </row>
    <row r="25">
      <c r="A25" s="14" t="inlineStr">
        <is>
          <t>A-21</t>
        </is>
      </c>
      <c r="B25" s="14" t="inlineStr">
        <is>
          <t>Sprint 2</t>
        </is>
      </c>
      <c r="C25" s="14" t="inlineStr">
        <is>
          <t>Prueba de trazabilidad en lab: seguir una transacción real/sintética de punta a punta con la observabilidad actual</t>
        </is>
      </c>
      <c r="D25" s="14" t="inlineStr">
        <is>
          <t>Assessment capa media</t>
        </is>
      </c>
      <c r="E25" s="15" t="inlineStr">
        <is>
          <t>Arq Cloud IA</t>
        </is>
      </c>
      <c r="F25" s="15" t="inlineStr"/>
      <c r="G25" s="16" t="inlineStr"/>
      <c r="H25" s="15" t="inlineStr">
        <is>
          <t>Pendiente</t>
        </is>
      </c>
      <c r="I25" s="15" t="inlineStr"/>
      <c r="J25" s="15" t="inlineStr"/>
    </row>
    <row r="26">
      <c r="A26" s="14" t="inlineStr">
        <is>
          <t>A-22</t>
        </is>
      </c>
      <c r="B26" s="14" t="inlineStr">
        <is>
          <t>Sprint 2</t>
        </is>
      </c>
      <c r="C26" s="14" t="inlineStr">
        <is>
          <t>Consolidar gaps por pilar SOX con impacto, prioridad y plan de acción (hoja 5)</t>
        </is>
      </c>
      <c r="D26" s="14" t="inlineStr">
        <is>
          <t>Assessment capa media</t>
        </is>
      </c>
      <c r="E26" s="15" t="inlineStr">
        <is>
          <t>Arq Integraciones</t>
        </is>
      </c>
      <c r="F26" s="15" t="inlineStr"/>
      <c r="G26" s="16" t="inlineStr"/>
      <c r="H26" s="15" t="inlineStr">
        <is>
          <t>Pendiente</t>
        </is>
      </c>
      <c r="I26" s="15" t="inlineStr"/>
      <c r="J26" s="15" t="inlineStr"/>
    </row>
    <row r="27">
      <c r="A27" s="14" t="inlineStr">
        <is>
          <t>A-23</t>
        </is>
      </c>
      <c r="B27" s="14" t="inlineStr">
        <is>
          <t>Sprint 2</t>
        </is>
      </c>
      <c r="C27" s="14" t="inlineStr">
        <is>
          <t>Análisis de impacto, dependencias y riesgos sobre los proyectos IFRS17 y TraMos (hoja 6)</t>
        </is>
      </c>
      <c r="D27" s="14" t="inlineStr">
        <is>
          <t>Assessment capa media</t>
        </is>
      </c>
      <c r="E27" s="15" t="inlineStr">
        <is>
          <t>Gestor SOX</t>
        </is>
      </c>
      <c r="F27" s="15" t="inlineStr"/>
      <c r="G27" s="16" t="inlineStr"/>
      <c r="H27" s="15" t="inlineStr">
        <is>
          <t>Pendiente</t>
        </is>
      </c>
      <c r="I27" s="15" t="inlineStr"/>
      <c r="J27" s="15" t="inlineStr"/>
    </row>
    <row r="28">
      <c r="A28" s="14" t="inlineStr">
        <is>
          <t>A-24</t>
        </is>
      </c>
      <c r="B28" s="14" t="inlineStr">
        <is>
          <t>Sprint 2</t>
        </is>
      </c>
      <c r="C28" s="14" t="inlineStr">
        <is>
          <t>Análisis detallado del control: mapear cada pilar SOX al mecanismo técnico que lo cubrirá</t>
        </is>
      </c>
      <c r="D28" s="14" t="inlineStr">
        <is>
          <t>Diseño detallado solución</t>
        </is>
      </c>
      <c r="E28" s="15" t="inlineStr">
        <is>
          <t>Gestor SOX</t>
        </is>
      </c>
      <c r="F28" s="15" t="inlineStr"/>
      <c r="G28" s="16" t="inlineStr"/>
      <c r="H28" s="15" t="inlineStr">
        <is>
          <t>Pendiente</t>
        </is>
      </c>
      <c r="I28" s="15" t="inlineStr"/>
      <c r="J28" s="15" t="inlineStr"/>
    </row>
    <row r="29">
      <c r="A29" s="14" t="inlineStr">
        <is>
          <t>A-25</t>
        </is>
      </c>
      <c r="B29" s="14" t="inlineStr">
        <is>
          <t>Sprint 2</t>
        </is>
      </c>
      <c r="C29" s="14" t="inlineStr">
        <is>
          <t>Diseño de arquitectura del activo: ingesta, correlación, eventos, agente, memoria, LLM, MCP-ITSM, reportería/evidencia</t>
        </is>
      </c>
      <c r="D29" s="14" t="inlineStr">
        <is>
          <t>Diseño detallado solución</t>
        </is>
      </c>
      <c r="E29" s="15" t="inlineStr">
        <is>
          <t>Arq Cloud IA</t>
        </is>
      </c>
      <c r="F29" s="15" t="inlineStr"/>
      <c r="G29" s="16" t="inlineStr"/>
      <c r="H29" s="15" t="inlineStr">
        <is>
          <t>Pendiente</t>
        </is>
      </c>
      <c r="I29" s="15" t="inlineStr"/>
      <c r="J29" s="15" t="inlineStr"/>
    </row>
    <row r="30">
      <c r="A30" s="14" t="inlineStr">
        <is>
          <t>A-26</t>
        </is>
      </c>
      <c r="B30" s="14" t="inlineStr">
        <is>
          <t>Sprint 2</t>
        </is>
      </c>
      <c r="C30" s="14" t="inlineStr">
        <is>
          <t>Definir controles del agente IA: datos sensibles enviados al LLM, registro auditable de decisiones, human-in-the-loop</t>
        </is>
      </c>
      <c r="D30" s="14" t="inlineStr">
        <is>
          <t>Diseño detallado solución</t>
        </is>
      </c>
      <c r="E30" s="15" t="inlineStr">
        <is>
          <t>Arq Cloud IA</t>
        </is>
      </c>
      <c r="F30" s="15" t="inlineStr"/>
      <c r="G30" s="16" t="inlineStr"/>
      <c r="H30" s="15" t="inlineStr">
        <is>
          <t>Pendiente</t>
        </is>
      </c>
      <c r="I30" s="15" t="inlineStr"/>
      <c r="J30" s="15" t="inlineStr"/>
    </row>
    <row r="31">
      <c r="A31" s="14" t="inlineStr">
        <is>
          <t>A-27</t>
        </is>
      </c>
      <c r="B31" s="14" t="inlineStr">
        <is>
          <t>Sprint 2</t>
        </is>
      </c>
      <c r="C31" s="14" t="inlineStr">
        <is>
          <t>Definir modelo de evidencia: qué se guarda, dónde, cuánto tiempo y cómo se consulta para auditoría</t>
        </is>
      </c>
      <c r="D31" s="14" t="inlineStr">
        <is>
          <t>Diseño detallado solución</t>
        </is>
      </c>
      <c r="E31" s="15" t="inlineStr">
        <is>
          <t>Gestor SOX</t>
        </is>
      </c>
      <c r="F31" s="15" t="inlineStr"/>
      <c r="G31" s="16" t="inlineStr"/>
      <c r="H31" s="15" t="inlineStr">
        <is>
          <t>Pendiente</t>
        </is>
      </c>
      <c r="I31" s="15" t="inlineStr"/>
      <c r="J31" s="15" t="inlineStr"/>
    </row>
    <row r="32">
      <c r="A32" s="14" t="inlineStr">
        <is>
          <t>A-28</t>
        </is>
      </c>
      <c r="B32" s="14" t="inlineStr">
        <is>
          <t>Sprint 2</t>
        </is>
      </c>
      <c r="C32" s="14" t="inlineStr">
        <is>
          <t>Seleccionar pilotos candidatos (IFRS17 / TraMos) para Etapa 2</t>
        </is>
      </c>
      <c r="D32" s="14" t="inlineStr">
        <is>
          <t>Listado integraciones</t>
        </is>
      </c>
      <c r="E32" s="15" t="inlineStr">
        <is>
          <t>Arq Integraciones</t>
        </is>
      </c>
      <c r="F32" s="15" t="inlineStr"/>
      <c r="G32" s="16" t="inlineStr"/>
      <c r="H32" s="15" t="inlineStr">
        <is>
          <t>Pendiente</t>
        </is>
      </c>
      <c r="I32" s="15" t="inlineStr"/>
      <c r="J32" s="15" t="inlineStr"/>
    </row>
    <row r="33">
      <c r="A33" s="14" t="inlineStr">
        <is>
          <t>A-29</t>
        </is>
      </c>
      <c r="B33" s="14" t="inlineStr">
        <is>
          <t>Sprint 2</t>
        </is>
      </c>
      <c r="C33" s="14" t="inlineStr">
        <is>
          <t>Plan de trabajo detallado Etapa 2 y dimensionamiento del Equipo Gaps (perfiles y tiempo)</t>
        </is>
      </c>
      <c r="D33" s="14" t="inlineStr">
        <is>
          <t>Diseño detallado solución</t>
        </is>
      </c>
      <c r="E33" s="15" t="inlineStr">
        <is>
          <t>Gestor SOX</t>
        </is>
      </c>
      <c r="F33" s="15" t="inlineStr"/>
      <c r="G33" s="16" t="inlineStr"/>
      <c r="H33" s="15" t="inlineStr">
        <is>
          <t>Pendiente</t>
        </is>
      </c>
      <c r="I33" s="15" t="inlineStr"/>
      <c r="J33" s="15" t="inlineStr"/>
    </row>
    <row r="34">
      <c r="A34" s="14" t="inlineStr">
        <is>
          <t>A-30</t>
        </is>
      </c>
      <c r="B34" s="14" t="inlineStr">
        <is>
          <t>Sprint 2</t>
        </is>
      </c>
      <c r="C34" s="14" t="inlineStr">
        <is>
          <t>Plan de seguimiento y estado de las integraciones priorizadas a monitorear</t>
        </is>
      </c>
      <c r="D34" s="14" t="inlineStr">
        <is>
          <t>Listado integraciones</t>
        </is>
      </c>
      <c r="E34" s="15" t="inlineStr">
        <is>
          <t>Gestor SOX</t>
        </is>
      </c>
      <c r="F34" s="15" t="inlineStr"/>
      <c r="G34" s="16" t="inlineStr"/>
      <c r="H34" s="15" t="inlineStr">
        <is>
          <t>Pendiente</t>
        </is>
      </c>
      <c r="I34" s="15" t="inlineStr"/>
      <c r="J34" s="15" t="inlineStr"/>
    </row>
    <row r="35">
      <c r="A35" s="14" t="inlineStr">
        <is>
          <t>A-31</t>
        </is>
      </c>
      <c r="B35" s="14" t="inlineStr">
        <is>
          <t>Sprint 2</t>
        </is>
      </c>
      <c r="C35" s="14" t="inlineStr">
        <is>
          <t>Sprint Review 2 / comité: presentar y obtener aprobación de resultados y diseño</t>
        </is>
      </c>
      <c r="D35" s="14" t="inlineStr">
        <is>
          <t>Gobierno / habilitación</t>
        </is>
      </c>
      <c r="E35" s="15" t="inlineStr">
        <is>
          <t>Gestor SOX</t>
        </is>
      </c>
      <c r="F35" s="15" t="inlineStr"/>
      <c r="G35" s="16" t="inlineStr"/>
      <c r="H35" s="15" t="inlineStr">
        <is>
          <t>Pendiente</t>
        </is>
      </c>
      <c r="I35" s="15" t="inlineStr"/>
      <c r="J35" s="15" t="inlineStr"/>
    </row>
    <row r="37">
      <c r="C37" s="17" t="inlineStr">
        <is>
          <t>RESUMEN DE AVANCE</t>
        </is>
      </c>
    </row>
    <row r="38">
      <c r="C38" s="5" t="inlineStr">
        <is>
          <t>Total actividades (sin N/A)</t>
        </is>
      </c>
      <c r="D38" s="18">
        <f>COUNTA(A5:A35)-COUNTIF(H5:H35,"N/A")</f>
        <v/>
      </c>
    </row>
    <row r="39">
      <c r="C39" s="5" t="inlineStr">
        <is>
          <t>Completadas</t>
        </is>
      </c>
      <c r="D39" s="18">
        <f>COUNTIF(H5:H35,"Completado")</f>
        <v/>
      </c>
    </row>
    <row r="40">
      <c r="C40" s="5" t="inlineStr">
        <is>
          <t>En curso</t>
        </is>
      </c>
      <c r="D40" s="18">
        <f>COUNTIF(H5:H35,"En curso")</f>
        <v/>
      </c>
    </row>
    <row r="41">
      <c r="C41" s="5" t="inlineStr">
        <is>
          <t>Bloqueadas</t>
        </is>
      </c>
      <c r="D41" s="18">
        <f>COUNTIF(H5:H35,"Bloqueado")</f>
        <v/>
      </c>
    </row>
    <row r="42">
      <c r="C42" s="5" t="inlineStr">
        <is>
          <t>% avance</t>
        </is>
      </c>
      <c r="D42" s="19">
        <f>IFERROR(D39/D38,0)</f>
        <v/>
      </c>
    </row>
    <row r="43">
      <c r="C43" s="5" t="inlineStr">
        <is>
          <t>% avance Arranque</t>
        </is>
      </c>
      <c r="D43" s="19">
        <f>IFERROR(COUNTIFS(B5:B35,"Arranque (Sem 0)",H5:H35,"Completado")/(COUNTIF(B5:B35,"Arranque (Sem 0)")-COUNTIFS(B5:B35,"Arranque (Sem 0)",H5:H35,"N/A")),0)</f>
        <v/>
      </c>
    </row>
    <row r="44">
      <c r="C44" s="5" t="inlineStr">
        <is>
          <t>% avance Sprint 1</t>
        </is>
      </c>
      <c r="D44" s="19">
        <f>IFERROR(COUNTIFS(B5:B35,"Sprint 1",H5:H35,"Completado")/(COUNTIF(B5:B35,"Sprint 1")-COUNTIFS(B5:B35,"Sprint 1",H5:H35,"N/A")),0)</f>
        <v/>
      </c>
    </row>
    <row r="45">
      <c r="C45" s="5" t="inlineStr">
        <is>
          <t>% avance Sprint 2</t>
        </is>
      </c>
      <c r="D45" s="19">
        <f>IFERROR(COUNTIFS(B5:B35,"Sprint 2",H5:H35,"Completado")/(COUNTIF(B5:B35,"Sprint 2")-COUNTIFS(B5:B35,"Sprint 2",H5:H35,"N/A")),0)</f>
        <v/>
      </c>
    </row>
  </sheetData>
  <mergeCells count="1">
    <mergeCell ref="A2:J2"/>
  </mergeCells>
  <conditionalFormatting sqref="H5:H35">
    <cfRule type="cellIs" priority="1" operator="equal" dxfId="0">
      <formula>"Completado"</formula>
    </cfRule>
    <cfRule type="cellIs" priority="2" operator="equal" dxfId="1">
      <formula>"Bloqueado"</formula>
    </cfRule>
    <cfRule type="cellIs" priority="3" operator="equal" dxfId="2">
      <formula>"En curso"</formula>
    </cfRule>
  </conditionalFormatting>
  <dataValidations count="1">
    <dataValidation sqref="H5:H85" showDropDown="0" showInputMessage="0" showErrorMessage="0" allowBlank="1" type="list">
      <formula1>"Pendiente,En curso,Completado,Bloqueado,N/A"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/>
  </sheetPr>
  <dimension ref="A1:K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14" customWidth="1" min="4" max="4"/>
    <col width="10" customWidth="1" min="5" max="5"/>
    <col width="12" customWidth="1" min="6" max="6"/>
    <col width="13" customWidth="1" min="7" max="7"/>
    <col width="14" customWidth="1" min="8" max="8"/>
    <col width="11" customWidth="1" min="9" max="9"/>
    <col width="12" customWidth="1" min="10" max="10"/>
    <col width="12" customWidth="1" min="11" max="11"/>
  </cols>
  <sheetData>
    <row r="1">
      <c r="A1" s="1" t="inlineStr">
        <is>
          <t>Stakeholders y matriz RACI</t>
        </is>
      </c>
    </row>
    <row r="2" ht="32" customHeight="1">
      <c r="A2" s="12" t="inlineStr">
        <is>
          <t>R=Responsable · A=Aprueba · C=Consultado · I=Informado. Diligencie nombres y ajuste las letras sugeridas.</t>
        </is>
      </c>
    </row>
    <row r="4" ht="34" customHeight="1">
      <c r="A4" s="13" t="inlineStr">
        <is>
          <t>Rol / área</t>
        </is>
      </c>
      <c r="B4" s="13" t="inlineStr">
        <is>
          <t>Nombre</t>
        </is>
      </c>
      <c r="C4" s="13" t="inlineStr">
        <is>
          <t>Correo</t>
        </is>
      </c>
      <c r="D4" s="13" t="inlineStr">
        <is>
          <t>Organización</t>
        </is>
      </c>
      <c r="E4" s="13" t="inlineStr">
        <is>
          <t>Kickoff</t>
        </is>
      </c>
      <c r="F4" s="13" t="inlineStr">
        <is>
          <t>Def. control SOX</t>
        </is>
      </c>
      <c r="G4" s="13" t="inlineStr">
        <is>
          <t>Inventario integraciones</t>
        </is>
      </c>
      <c r="H4" s="13" t="inlineStr">
        <is>
          <t>Evaluación observabilidad</t>
        </is>
      </c>
      <c r="I4" s="13" t="inlineStr">
        <is>
          <t>Matriz de gaps</t>
        </is>
      </c>
      <c r="J4" s="13" t="inlineStr">
        <is>
          <t>Diseño arquitectura</t>
        </is>
      </c>
      <c r="K4" s="13" t="inlineStr">
        <is>
          <t>Aprobación resultados</t>
        </is>
      </c>
    </row>
    <row r="5">
      <c r="A5" s="14" t="inlineStr">
        <is>
          <t>Dueño del control SOX</t>
        </is>
      </c>
      <c r="B5" s="15" t="inlineStr"/>
      <c r="C5" s="15" t="inlineStr"/>
      <c r="D5" s="15" t="inlineStr">
        <is>
          <t>SURA</t>
        </is>
      </c>
      <c r="E5" s="20" t="inlineStr">
        <is>
          <t>I</t>
        </is>
      </c>
      <c r="F5" s="20" t="inlineStr">
        <is>
          <t>A</t>
        </is>
      </c>
      <c r="G5" s="20" t="inlineStr">
        <is>
          <t>C</t>
        </is>
      </c>
      <c r="H5" s="20" t="inlineStr">
        <is>
          <t>I</t>
        </is>
      </c>
      <c r="I5" s="20" t="inlineStr">
        <is>
          <t>A</t>
        </is>
      </c>
      <c r="J5" s="20" t="inlineStr">
        <is>
          <t>C</t>
        </is>
      </c>
      <c r="K5" s="20" t="inlineStr">
        <is>
          <t>A</t>
        </is>
      </c>
    </row>
    <row r="6">
      <c r="A6" s="14" t="inlineStr">
        <is>
          <t>Analista de riesgos / SOX</t>
        </is>
      </c>
      <c r="B6" s="15" t="inlineStr"/>
      <c r="C6" s="15" t="inlineStr"/>
      <c r="D6" s="15" t="inlineStr">
        <is>
          <t>SURA</t>
        </is>
      </c>
      <c r="E6" s="20" t="inlineStr">
        <is>
          <t>C</t>
        </is>
      </c>
      <c r="F6" s="20" t="inlineStr">
        <is>
          <t>R</t>
        </is>
      </c>
      <c r="G6" s="20" t="inlineStr">
        <is>
          <t>C</t>
        </is>
      </c>
      <c r="H6" s="20" t="inlineStr">
        <is>
          <t>I</t>
        </is>
      </c>
      <c r="I6" s="20" t="inlineStr">
        <is>
          <t>C</t>
        </is>
      </c>
      <c r="J6" s="20" t="inlineStr">
        <is>
          <t>C</t>
        </is>
      </c>
      <c r="K6" s="20" t="inlineStr">
        <is>
          <t>C</t>
        </is>
      </c>
    </row>
    <row r="7">
      <c r="A7" s="14" t="inlineStr">
        <is>
          <t>Arquitectura empresarial / integraciones</t>
        </is>
      </c>
      <c r="B7" s="15" t="inlineStr"/>
      <c r="C7" s="15" t="inlineStr"/>
      <c r="D7" s="15" t="inlineStr">
        <is>
          <t>SURA</t>
        </is>
      </c>
      <c r="E7" s="20" t="inlineStr">
        <is>
          <t>C</t>
        </is>
      </c>
      <c r="F7" s="20" t="inlineStr">
        <is>
          <t>I</t>
        </is>
      </c>
      <c r="G7" s="20" t="inlineStr">
        <is>
          <t>C</t>
        </is>
      </c>
      <c r="H7" s="20" t="inlineStr">
        <is>
          <t>C</t>
        </is>
      </c>
      <c r="I7" s="20" t="inlineStr">
        <is>
          <t>C</t>
        </is>
      </c>
      <c r="J7" s="20" t="inlineStr">
        <is>
          <t>A</t>
        </is>
      </c>
      <c r="K7" s="20" t="inlineStr">
        <is>
          <t>C</t>
        </is>
      </c>
    </row>
    <row r="8">
      <c r="A8" s="14" t="inlineStr">
        <is>
          <t>Líder técnico IFRS17</t>
        </is>
      </c>
      <c r="B8" s="15" t="inlineStr"/>
      <c r="C8" s="15" t="inlineStr"/>
      <c r="D8" s="15" t="inlineStr">
        <is>
          <t>SURA</t>
        </is>
      </c>
      <c r="E8" s="20" t="inlineStr">
        <is>
          <t>C</t>
        </is>
      </c>
      <c r="F8" s="20" t="inlineStr">
        <is>
          <t>I</t>
        </is>
      </c>
      <c r="G8" s="20" t="inlineStr">
        <is>
          <t>R</t>
        </is>
      </c>
      <c r="H8" s="20" t="inlineStr">
        <is>
          <t>C</t>
        </is>
      </c>
      <c r="I8" s="20" t="inlineStr">
        <is>
          <t>C</t>
        </is>
      </c>
      <c r="J8" s="20" t="inlineStr">
        <is>
          <t>C</t>
        </is>
      </c>
      <c r="K8" s="20" t="inlineStr">
        <is>
          <t>I</t>
        </is>
      </c>
    </row>
    <row r="9">
      <c r="A9" s="14" t="inlineStr">
        <is>
          <t>Líder técnico TraMos</t>
        </is>
      </c>
      <c r="B9" s="15" t="inlineStr"/>
      <c r="C9" s="15" t="inlineStr"/>
      <c r="D9" s="15" t="inlineStr">
        <is>
          <t>SURA</t>
        </is>
      </c>
      <c r="E9" s="20" t="inlineStr">
        <is>
          <t>C</t>
        </is>
      </c>
      <c r="F9" s="20" t="inlineStr">
        <is>
          <t>I</t>
        </is>
      </c>
      <c r="G9" s="20" t="inlineStr">
        <is>
          <t>R</t>
        </is>
      </c>
      <c r="H9" s="20" t="inlineStr">
        <is>
          <t>C</t>
        </is>
      </c>
      <c r="I9" s="20" t="inlineStr">
        <is>
          <t>C</t>
        </is>
      </c>
      <c r="J9" s="20" t="inlineStr">
        <is>
          <t>C</t>
        </is>
      </c>
      <c r="K9" s="20" t="inlineStr">
        <is>
          <t>I</t>
        </is>
      </c>
    </row>
    <row r="10">
      <c r="A10" s="14" t="inlineStr">
        <is>
          <t>Equipo SAP (ECC / S/4HANA)</t>
        </is>
      </c>
      <c r="B10" s="15" t="inlineStr"/>
      <c r="C10" s="15" t="inlineStr"/>
      <c r="D10" s="15" t="inlineStr">
        <is>
          <t>SURA</t>
        </is>
      </c>
      <c r="E10" s="20" t="inlineStr">
        <is>
          <t>I</t>
        </is>
      </c>
      <c r="F10" s="20" t="inlineStr">
        <is>
          <t>I</t>
        </is>
      </c>
      <c r="G10" s="20" t="inlineStr">
        <is>
          <t>C</t>
        </is>
      </c>
      <c r="H10" s="20" t="inlineStr">
        <is>
          <t>C</t>
        </is>
      </c>
      <c r="I10" s="20" t="inlineStr">
        <is>
          <t>C</t>
        </is>
      </c>
      <c r="J10" s="20" t="inlineStr">
        <is>
          <t>C</t>
        </is>
      </c>
      <c r="K10" s="20" t="inlineStr">
        <is>
          <t>I</t>
        </is>
      </c>
    </row>
    <row r="11">
      <c r="A11" s="14" t="inlineStr">
        <is>
          <t>Equipo observabilidad / plataforma</t>
        </is>
      </c>
      <c r="B11" s="15" t="inlineStr"/>
      <c r="C11" s="15" t="inlineStr"/>
      <c r="D11" s="15" t="inlineStr">
        <is>
          <t>SURA</t>
        </is>
      </c>
      <c r="E11" s="20" t="inlineStr">
        <is>
          <t>I</t>
        </is>
      </c>
      <c r="F11" s="20" t="inlineStr">
        <is>
          <t>I</t>
        </is>
      </c>
      <c r="G11" s="20" t="inlineStr">
        <is>
          <t>C</t>
        </is>
      </c>
      <c r="H11" s="20" t="inlineStr">
        <is>
          <t>C</t>
        </is>
      </c>
      <c r="I11" s="20" t="inlineStr">
        <is>
          <t>C</t>
        </is>
      </c>
      <c r="J11" s="20" t="inlineStr">
        <is>
          <t>C</t>
        </is>
      </c>
      <c r="K11" s="20" t="inlineStr">
        <is>
          <t>I</t>
        </is>
      </c>
    </row>
    <row r="12">
      <c r="A12" s="14" t="inlineStr">
        <is>
          <t>Mesa de servicio / ITSM</t>
        </is>
      </c>
      <c r="B12" s="15" t="inlineStr"/>
      <c r="C12" s="15" t="inlineStr"/>
      <c r="D12" s="15" t="inlineStr">
        <is>
          <t>SURA</t>
        </is>
      </c>
      <c r="E12" s="20" t="inlineStr">
        <is>
          <t>I</t>
        </is>
      </c>
      <c r="F12" s="20" t="inlineStr">
        <is>
          <t>I</t>
        </is>
      </c>
      <c r="G12" s="20" t="inlineStr">
        <is>
          <t>I</t>
        </is>
      </c>
      <c r="H12" s="20" t="inlineStr">
        <is>
          <t>C</t>
        </is>
      </c>
      <c r="I12" s="20" t="inlineStr">
        <is>
          <t>C</t>
        </is>
      </c>
      <c r="J12" s="20" t="inlineStr">
        <is>
          <t>C</t>
        </is>
      </c>
      <c r="K12" s="20" t="inlineStr">
        <is>
          <t>I</t>
        </is>
      </c>
    </row>
    <row r="13">
      <c r="A13" s="14" t="inlineStr">
        <is>
          <t>Gerente NTT</t>
        </is>
      </c>
      <c r="B13" s="15" t="inlineStr"/>
      <c r="C13" s="15" t="inlineStr"/>
      <c r="D13" s="15" t="inlineStr">
        <is>
          <t>NTT DATA</t>
        </is>
      </c>
      <c r="E13" s="20" t="inlineStr">
        <is>
          <t>A</t>
        </is>
      </c>
      <c r="F13" s="20" t="inlineStr">
        <is>
          <t>I</t>
        </is>
      </c>
      <c r="G13" s="20" t="inlineStr">
        <is>
          <t>I</t>
        </is>
      </c>
      <c r="H13" s="20" t="inlineStr">
        <is>
          <t>I</t>
        </is>
      </c>
      <c r="I13" s="20" t="inlineStr">
        <is>
          <t>I</t>
        </is>
      </c>
      <c r="J13" s="20" t="inlineStr">
        <is>
          <t>I</t>
        </is>
      </c>
      <c r="K13" s="20" t="inlineStr">
        <is>
          <t>R</t>
        </is>
      </c>
    </row>
    <row r="14">
      <c r="A14" s="14" t="inlineStr">
        <is>
          <t>Gestor SOX</t>
        </is>
      </c>
      <c r="B14" s="15" t="inlineStr"/>
      <c r="C14" s="15" t="inlineStr"/>
      <c r="D14" s="15" t="inlineStr">
        <is>
          <t>NTT DATA</t>
        </is>
      </c>
      <c r="E14" s="20" t="inlineStr">
        <is>
          <t>R</t>
        </is>
      </c>
      <c r="F14" s="20" t="inlineStr">
        <is>
          <t>R</t>
        </is>
      </c>
      <c r="G14" s="20" t="inlineStr">
        <is>
          <t>A</t>
        </is>
      </c>
      <c r="H14" s="20" t="inlineStr">
        <is>
          <t>A</t>
        </is>
      </c>
      <c r="I14" s="20" t="inlineStr">
        <is>
          <t>R</t>
        </is>
      </c>
      <c r="J14" s="20" t="inlineStr">
        <is>
          <t>A</t>
        </is>
      </c>
      <c r="K14" s="20" t="inlineStr">
        <is>
          <t>R</t>
        </is>
      </c>
    </row>
    <row r="15">
      <c r="A15" s="14" t="inlineStr">
        <is>
          <t>Arquitecto integraciones de datos</t>
        </is>
      </c>
      <c r="B15" s="15" t="inlineStr"/>
      <c r="C15" s="15" t="inlineStr"/>
      <c r="D15" s="15" t="inlineStr">
        <is>
          <t>NTT DATA</t>
        </is>
      </c>
      <c r="E15" s="20" t="inlineStr">
        <is>
          <t>C</t>
        </is>
      </c>
      <c r="F15" s="20" t="inlineStr">
        <is>
          <t>C</t>
        </is>
      </c>
      <c r="G15" s="20" t="inlineStr">
        <is>
          <t>R</t>
        </is>
      </c>
      <c r="H15" s="20" t="inlineStr">
        <is>
          <t>R</t>
        </is>
      </c>
      <c r="I15" s="20" t="inlineStr">
        <is>
          <t>R</t>
        </is>
      </c>
      <c r="J15" s="20" t="inlineStr">
        <is>
          <t>R</t>
        </is>
      </c>
      <c r="K15" s="20" t="inlineStr">
        <is>
          <t>C</t>
        </is>
      </c>
    </row>
    <row r="16">
      <c r="A16" s="14" t="inlineStr">
        <is>
          <t>Arquitecto soluciones cloud IA</t>
        </is>
      </c>
      <c r="B16" s="15" t="inlineStr"/>
      <c r="C16" s="15" t="inlineStr"/>
      <c r="D16" s="15" t="inlineStr">
        <is>
          <t>NTT DATA</t>
        </is>
      </c>
      <c r="E16" s="20" t="inlineStr">
        <is>
          <t>C</t>
        </is>
      </c>
      <c r="F16" s="20" t="inlineStr">
        <is>
          <t>C</t>
        </is>
      </c>
      <c r="G16" s="20" t="inlineStr">
        <is>
          <t>C</t>
        </is>
      </c>
      <c r="H16" s="20" t="inlineStr">
        <is>
          <t>R</t>
        </is>
      </c>
      <c r="I16" s="20" t="inlineStr">
        <is>
          <t>R</t>
        </is>
      </c>
      <c r="J16" s="20" t="inlineStr">
        <is>
          <t>R</t>
        </is>
      </c>
      <c r="K16" s="20" t="inlineStr">
        <is>
          <t>C</t>
        </is>
      </c>
    </row>
  </sheetData>
  <mergeCells count="1">
    <mergeCell ref="A2:K2"/>
  </mergeCells>
  <dataValidations count="1">
    <dataValidation sqref="E5:K60" showDropDown="0" showInputMessage="0" showErrorMessage="0" allowBlank="1" type="list">
      <formula1>"R,A,C,I,R/A"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5AA6"/>
    <outlinePr summaryBelow="1" summaryRight="1"/>
    <pageSetUpPr/>
  </sheetPr>
  <dimension ref="A1:Z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16" customWidth="1" min="4" max="4"/>
    <col width="22" customWidth="1" min="5" max="5"/>
    <col width="16" customWidth="1" min="6" max="6"/>
    <col width="12" customWidth="1" min="7" max="7"/>
    <col width="12" customWidth="1" min="8" max="8"/>
    <col width="14" customWidth="1" min="9" max="9"/>
    <col width="12" customWidth="1" min="10" max="10"/>
    <col width="11" customWidth="1" min="11" max="11"/>
    <col width="22" customWidth="1" min="12" max="12"/>
    <col width="16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1" customWidth="1" min="25" max="25"/>
    <col width="30" customWidth="1" min="26" max="26"/>
  </cols>
  <sheetData>
    <row r="1">
      <c r="A1" s="1" t="inlineStr">
        <is>
          <t>Inventario de integraciones y evaluación de observabilidad</t>
        </is>
      </c>
    </row>
    <row r="2" ht="32" customHeight="1">
      <c r="A2" s="12" t="inlineStr">
        <is>
          <t>Criterios: Sí=1 · Parcial=0,5 · No=0 · N/A no cuenta. La madurez y el nivel se calculan solos. La fila gris es un ejemplo de formato.</t>
        </is>
      </c>
    </row>
    <row r="3" ht="18" customHeight="1">
      <c r="N3" s="21" t="inlineStr">
        <is>
          <t>Trazabilidad</t>
        </is>
      </c>
      <c r="Q3" s="21" t="inlineStr">
        <is>
          <t>Ejecución</t>
        </is>
      </c>
      <c r="R3" s="21" t="inlineStr">
        <is>
          <t>Completitud y oportunidad</t>
        </is>
      </c>
      <c r="T3" s="21" t="inlineStr">
        <is>
          <t>Gestión de excepciones</t>
        </is>
      </c>
      <c r="W3" s="21" t="inlineStr">
        <is>
          <t>Evidencia</t>
        </is>
      </c>
    </row>
    <row r="4" ht="34" customHeight="1">
      <c r="A4" s="13" t="inlineStr">
        <is>
          <t>ID</t>
        </is>
      </c>
      <c r="B4" s="13" t="inlineStr">
        <is>
          <t>Proyecto</t>
        </is>
      </c>
      <c r="C4" s="13" t="inlineStr">
        <is>
          <t>Nombre interfaz</t>
        </is>
      </c>
      <c r="D4" s="13" t="inlineStr">
        <is>
          <t>Sistema origen</t>
        </is>
      </c>
      <c r="E4" s="13" t="inlineStr">
        <is>
          <t>Capa media / tecnología</t>
        </is>
      </c>
      <c r="F4" s="13" t="inlineStr">
        <is>
          <t>Sistema destino</t>
        </is>
      </c>
      <c r="G4" s="13" t="inlineStr">
        <is>
          <t>Patrón</t>
        </is>
      </c>
      <c r="H4" s="13" t="inlineStr">
        <is>
          <t>Frecuencia</t>
        </is>
      </c>
      <c r="I4" s="13" t="inlineStr">
        <is>
          <t>Ventana esperada</t>
        </is>
      </c>
      <c r="J4" s="13" t="inlineStr">
        <is>
          <t>Volumen aprox.</t>
        </is>
      </c>
      <c r="K4" s="13" t="inlineStr">
        <is>
          <t>¿Priorizada SOX?</t>
        </is>
      </c>
      <c r="L4" s="13" t="inlineStr">
        <is>
          <t>Control / riesgo SOX asociado</t>
        </is>
      </c>
      <c r="M4" s="13" t="inlineStr">
        <is>
          <t>Dueño técnico</t>
        </is>
      </c>
      <c r="N4" s="13" t="inlineStr">
        <is>
          <t>Correlation-id propagado E2E</t>
        </is>
      </c>
      <c r="O4" s="13" t="inlineStr">
        <is>
          <t>traceparent / tracing distribuido</t>
        </is>
      </c>
      <c r="P4" s="13" t="inlineStr">
        <is>
          <t>Logs centralizados en backend observabilidad</t>
        </is>
      </c>
      <c r="Q4" s="13" t="inlineStr">
        <is>
          <t>Métricas de ejecución (OK/fallo/duración)</t>
        </is>
      </c>
      <c r="R4" s="13" t="inlineStr">
        <is>
          <t>Conteo de registros origen vs destino</t>
        </is>
      </c>
      <c r="S4" s="13" t="inlineStr">
        <is>
          <t>SLA/ventana de llegada definida</t>
        </is>
      </c>
      <c r="T4" s="13" t="inlineStr">
        <is>
          <t>Alerta automática ante falla</t>
        </is>
      </c>
      <c r="U4" s="13" t="inlineStr">
        <is>
          <t>Mecanismo de reproceso</t>
        </is>
      </c>
      <c r="V4" s="13" t="inlineStr">
        <is>
          <t>Creación de incidente en ITSM</t>
        </is>
      </c>
      <c r="W4" s="13" t="inlineStr">
        <is>
          <t>Evidencia retenida y consultable</t>
        </is>
      </c>
      <c r="X4" s="13" t="inlineStr">
        <is>
          <t>Madurez observabilidad (%)</t>
        </is>
      </c>
      <c r="Y4" s="13" t="inlineStr">
        <is>
          <t>Nivel</t>
        </is>
      </c>
      <c r="Z4" s="13" t="inlineStr">
        <is>
          <t>Observaciones</t>
        </is>
      </c>
    </row>
    <row r="5">
      <c r="A5" s="22" t="inlineStr">
        <is>
          <t>INT-001</t>
        </is>
      </c>
      <c r="B5" s="22" t="inlineStr">
        <is>
          <t>IFRS17</t>
        </is>
      </c>
      <c r="C5" s="22" t="inlineStr">
        <is>
          <t>Envío pólizas a contabilidad</t>
        </is>
      </c>
      <c r="D5" s="22" t="inlineStr">
        <is>
          <t>Core seguros</t>
        </is>
      </c>
      <c r="E5" s="22" t="inlineStr">
        <is>
          <t>API Gateway + ESB</t>
        </is>
      </c>
      <c r="F5" s="22" t="inlineStr">
        <is>
          <t>SAP S/4HANA</t>
        </is>
      </c>
      <c r="G5" s="22" t="inlineStr">
        <is>
          <t>Batch</t>
        </is>
      </c>
      <c r="H5" s="22" t="inlineStr">
        <is>
          <t>Diaria</t>
        </is>
      </c>
      <c r="I5" s="22" t="inlineStr">
        <is>
          <t>02:00-04:00</t>
        </is>
      </c>
      <c r="J5" s="22" t="inlineStr">
        <is>
          <t>~50.000 reg</t>
        </is>
      </c>
      <c r="K5" s="22" t="inlineStr">
        <is>
          <t>Sí</t>
        </is>
      </c>
      <c r="L5" s="22" t="inlineStr">
        <is>
          <t>Ctrl-ITGC-XX (ejemplo)</t>
        </is>
      </c>
      <c r="M5" s="22" t="inlineStr">
        <is>
          <t>Equipo integraciones</t>
        </is>
      </c>
      <c r="N5" s="22" t="inlineStr">
        <is>
          <t>Sí</t>
        </is>
      </c>
      <c r="O5" s="22" t="inlineStr">
        <is>
          <t>No</t>
        </is>
      </c>
      <c r="P5" s="22" t="inlineStr">
        <is>
          <t>Sí</t>
        </is>
      </c>
      <c r="Q5" s="22" t="inlineStr">
        <is>
          <t>Parcial</t>
        </is>
      </c>
      <c r="R5" s="22" t="inlineStr">
        <is>
          <t>No</t>
        </is>
      </c>
      <c r="S5" s="22" t="inlineStr">
        <is>
          <t>Sí</t>
        </is>
      </c>
      <c r="T5" s="22" t="inlineStr">
        <is>
          <t>Parcial</t>
        </is>
      </c>
      <c r="U5" s="22" t="inlineStr">
        <is>
          <t>Sí</t>
        </is>
      </c>
      <c r="V5" s="22" t="inlineStr">
        <is>
          <t>No</t>
        </is>
      </c>
      <c r="W5" s="22" t="inlineStr">
        <is>
          <t>Parcial</t>
        </is>
      </c>
      <c r="X5" s="23">
        <f>IF(COUNTA(N5:W5)-COUNTIF(N5:W5,"N/A")=0,"",(COUNTIF(N5:W5,"Sí")+0.5*COUNTIF(N5:W5,"Parcial"))/(COUNTA(N5:W5)-COUNTIF(N5:W5,"N/A")))</f>
        <v/>
      </c>
      <c r="Y5" s="24">
        <f>IF(X5="","",IF(X5&gt;=0.8,"Alto",IF(X5&gt;=0.5,"Medio","Bajo")))</f>
        <v/>
      </c>
      <c r="Z5" s="22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23">
        <f>IF(COUNTA(N6:W6)-COUNTIF(N6:W6,"N/A")=0,"",(COUNTIF(N6:W6,"Sí")+0.5*COUNTIF(N6:W6,"Parcial"))/(COUNTA(N6:W6)-COUNTIF(N6:W6,"N/A")))</f>
        <v/>
      </c>
      <c r="Y6" s="24">
        <f>IF(X6="","",IF(X6&gt;=0.8,"Alto",IF(X6&gt;=0.5,"Medio","Bajo")))</f>
        <v/>
      </c>
      <c r="Z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23">
        <f>IF(COUNTA(N7:W7)-COUNTIF(N7:W7,"N/A")=0,"",(COUNTIF(N7:W7,"Sí")+0.5*COUNTIF(N7:W7,"Parcial"))/(COUNTA(N7:W7)-COUNTIF(N7:W7,"N/A")))</f>
        <v/>
      </c>
      <c r="Y7" s="24">
        <f>IF(X7="","",IF(X7&gt;=0.8,"Alto",IF(X7&gt;=0.5,"Medio","Bajo")))</f>
        <v/>
      </c>
      <c r="Z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23">
        <f>IF(COUNTA(N8:W8)-COUNTIF(N8:W8,"N/A")=0,"",(COUNTIF(N8:W8,"Sí")+0.5*COUNTIF(N8:W8,"Parcial"))/(COUNTA(N8:W8)-COUNTIF(N8:W8,"N/A")))</f>
        <v/>
      </c>
      <c r="Y8" s="24">
        <f>IF(X8="","",IF(X8&gt;=0.8,"Alto",IF(X8&gt;=0.5,"Medio","Bajo")))</f>
        <v/>
      </c>
      <c r="Z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23">
        <f>IF(COUNTA(N9:W9)-COUNTIF(N9:W9,"N/A")=0,"",(COUNTIF(N9:W9,"Sí")+0.5*COUNTIF(N9:W9,"Parcial"))/(COUNTA(N9:W9)-COUNTIF(N9:W9,"N/A")))</f>
        <v/>
      </c>
      <c r="Y9" s="24">
        <f>IF(X9="","",IF(X9&gt;=0.8,"Alto",IF(X9&gt;=0.5,"Medio","Bajo")))</f>
        <v/>
      </c>
      <c r="Z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23">
        <f>IF(COUNTA(N10:W10)-COUNTIF(N10:W10,"N/A")=0,"",(COUNTIF(N10:W10,"Sí")+0.5*COUNTIF(N10:W10,"Parcial"))/(COUNTA(N10:W10)-COUNTIF(N10:W10,"N/A")))</f>
        <v/>
      </c>
      <c r="Y10" s="24">
        <f>IF(X10="","",IF(X10&gt;=0.8,"Alto",IF(X10&gt;=0.5,"Medio","Bajo")))</f>
        <v/>
      </c>
      <c r="Z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23">
        <f>IF(COUNTA(N11:W11)-COUNTIF(N11:W11,"N/A")=0,"",(COUNTIF(N11:W11,"Sí")+0.5*COUNTIF(N11:W11,"Parcial"))/(COUNTA(N11:W11)-COUNTIF(N11:W11,"N/A")))</f>
        <v/>
      </c>
      <c r="Y11" s="24">
        <f>IF(X11="","",IF(X11&gt;=0.8,"Alto",IF(X11&gt;=0.5,"Medio","Bajo")))</f>
        <v/>
      </c>
      <c r="Z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23">
        <f>IF(COUNTA(N12:W12)-COUNTIF(N12:W12,"N/A")=0,"",(COUNTIF(N12:W12,"Sí")+0.5*COUNTIF(N12:W12,"Parcial"))/(COUNTA(N12:W12)-COUNTIF(N12:W12,"N/A")))</f>
        <v/>
      </c>
      <c r="Y12" s="24">
        <f>IF(X12="","",IF(X12&gt;=0.8,"Alto",IF(X12&gt;=0.5,"Medio","Bajo")))</f>
        <v/>
      </c>
      <c r="Z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23">
        <f>IF(COUNTA(N13:W13)-COUNTIF(N13:W13,"N/A")=0,"",(COUNTIF(N13:W13,"Sí")+0.5*COUNTIF(N13:W13,"Parcial"))/(COUNTA(N13:W13)-COUNTIF(N13:W13,"N/A")))</f>
        <v/>
      </c>
      <c r="Y13" s="24">
        <f>IF(X13="","",IF(X13&gt;=0.8,"Alto",IF(X13&gt;=0.5,"Medio","Bajo")))</f>
        <v/>
      </c>
      <c r="Z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23">
        <f>IF(COUNTA(N14:W14)-COUNTIF(N14:W14,"N/A")=0,"",(COUNTIF(N14:W14,"Sí")+0.5*COUNTIF(N14:W14,"Parcial"))/(COUNTA(N14:W14)-COUNTIF(N14:W14,"N/A")))</f>
        <v/>
      </c>
      <c r="Y14" s="24">
        <f>IF(X14="","",IF(X14&gt;=0.8,"Alto",IF(X14&gt;=0.5,"Medio","Bajo")))</f>
        <v/>
      </c>
      <c r="Z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23">
        <f>IF(COUNTA(N15:W15)-COUNTIF(N15:W15,"N/A")=0,"",(COUNTIF(N15:W15,"Sí")+0.5*COUNTIF(N15:W15,"Parcial"))/(COUNTA(N15:W15)-COUNTIF(N15:W15,"N/A")))</f>
        <v/>
      </c>
      <c r="Y15" s="24">
        <f>IF(X15="","",IF(X15&gt;=0.8,"Alto",IF(X15&gt;=0.5,"Medio","Bajo")))</f>
        <v/>
      </c>
      <c r="Z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23">
        <f>IF(COUNTA(N16:W16)-COUNTIF(N16:W16,"N/A")=0,"",(COUNTIF(N16:W16,"Sí")+0.5*COUNTIF(N16:W16,"Parcial"))/(COUNTA(N16:W16)-COUNTIF(N16:W16,"N/A")))</f>
        <v/>
      </c>
      <c r="Y16" s="24">
        <f>IF(X16="","",IF(X16&gt;=0.8,"Alto",IF(X16&gt;=0.5,"Medio","Bajo")))</f>
        <v/>
      </c>
      <c r="Z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23">
        <f>IF(COUNTA(N17:W17)-COUNTIF(N17:W17,"N/A")=0,"",(COUNTIF(N17:W17,"Sí")+0.5*COUNTIF(N17:W17,"Parcial"))/(COUNTA(N17:W17)-COUNTIF(N17:W17,"N/A")))</f>
        <v/>
      </c>
      <c r="Y17" s="24">
        <f>IF(X17="","",IF(X17&gt;=0.8,"Alto",IF(X17&gt;=0.5,"Medio","Bajo")))</f>
        <v/>
      </c>
      <c r="Z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23">
        <f>IF(COUNTA(N18:W18)-COUNTIF(N18:W18,"N/A")=0,"",(COUNTIF(N18:W18,"Sí")+0.5*COUNTIF(N18:W18,"Parcial"))/(COUNTA(N18:W18)-COUNTIF(N18:W18,"N/A")))</f>
        <v/>
      </c>
      <c r="Y18" s="24">
        <f>IF(X18="","",IF(X18&gt;=0.8,"Alto",IF(X18&gt;=0.5,"Medio","Bajo")))</f>
        <v/>
      </c>
      <c r="Z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23">
        <f>IF(COUNTA(N19:W19)-COUNTIF(N19:W19,"N/A")=0,"",(COUNTIF(N19:W19,"Sí")+0.5*COUNTIF(N19:W19,"Parcial"))/(COUNTA(N19:W19)-COUNTIF(N19:W19,"N/A")))</f>
        <v/>
      </c>
      <c r="Y19" s="24">
        <f>IF(X19="","",IF(X19&gt;=0.8,"Alto",IF(X19&gt;=0.5,"Medio","Bajo")))</f>
        <v/>
      </c>
      <c r="Z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23">
        <f>IF(COUNTA(N20:W20)-COUNTIF(N20:W20,"N/A")=0,"",(COUNTIF(N20:W20,"Sí")+0.5*COUNTIF(N20:W20,"Parcial"))/(COUNTA(N20:W20)-COUNTIF(N20:W20,"N/A")))</f>
        <v/>
      </c>
      <c r="Y20" s="24">
        <f>IF(X20="","",IF(X20&gt;=0.8,"Alto",IF(X20&gt;=0.5,"Medio","Bajo")))</f>
        <v/>
      </c>
      <c r="Z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23">
        <f>IF(COUNTA(N21:W21)-COUNTIF(N21:W21,"N/A")=0,"",(COUNTIF(N21:W21,"Sí")+0.5*COUNTIF(N21:W21,"Parcial"))/(COUNTA(N21:W21)-COUNTIF(N21:W21,"N/A")))</f>
        <v/>
      </c>
      <c r="Y21" s="24">
        <f>IF(X21="","",IF(X21&gt;=0.8,"Alto",IF(X21&gt;=0.5,"Medio","Bajo")))</f>
        <v/>
      </c>
      <c r="Z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23">
        <f>IF(COUNTA(N22:W22)-COUNTIF(N22:W22,"N/A")=0,"",(COUNTIF(N22:W22,"Sí")+0.5*COUNTIF(N22:W22,"Parcial"))/(COUNTA(N22:W22)-COUNTIF(N22:W22,"N/A")))</f>
        <v/>
      </c>
      <c r="Y22" s="24">
        <f>IF(X22="","",IF(X22&gt;=0.8,"Alto",IF(X22&gt;=0.5,"Medio","Bajo")))</f>
        <v/>
      </c>
      <c r="Z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23">
        <f>IF(COUNTA(N23:W23)-COUNTIF(N23:W23,"N/A")=0,"",(COUNTIF(N23:W23,"Sí")+0.5*COUNTIF(N23:W23,"Parcial"))/(COUNTA(N23:W23)-COUNTIF(N23:W23,"N/A")))</f>
        <v/>
      </c>
      <c r="Y23" s="24">
        <f>IF(X23="","",IF(X23&gt;=0.8,"Alto",IF(X23&gt;=0.5,"Medio","Bajo")))</f>
        <v/>
      </c>
      <c r="Z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23">
        <f>IF(COUNTA(N24:W24)-COUNTIF(N24:W24,"N/A")=0,"",(COUNTIF(N24:W24,"Sí")+0.5*COUNTIF(N24:W24,"Parcial"))/(COUNTA(N24:W24)-COUNTIF(N24:W24,"N/A")))</f>
        <v/>
      </c>
      <c r="Y24" s="24">
        <f>IF(X24="","",IF(X24&gt;=0.8,"Alto",IF(X24&gt;=0.5,"Medio","Bajo")))</f>
        <v/>
      </c>
      <c r="Z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23">
        <f>IF(COUNTA(N25:W25)-COUNTIF(N25:W25,"N/A")=0,"",(COUNTIF(N25:W25,"Sí")+0.5*COUNTIF(N25:W25,"Parcial"))/(COUNTA(N25:W25)-COUNTIF(N25:W25,"N/A")))</f>
        <v/>
      </c>
      <c r="Y25" s="24">
        <f>IF(X25="","",IF(X25&gt;=0.8,"Alto",IF(X25&gt;=0.5,"Medio","Bajo")))</f>
        <v/>
      </c>
      <c r="Z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23">
        <f>IF(COUNTA(N26:W26)-COUNTIF(N26:W26,"N/A")=0,"",(COUNTIF(N26:W26,"Sí")+0.5*COUNTIF(N26:W26,"Parcial"))/(COUNTA(N26:W26)-COUNTIF(N26:W26,"N/A")))</f>
        <v/>
      </c>
      <c r="Y26" s="24">
        <f>IF(X26="","",IF(X26&gt;=0.8,"Alto",IF(X26&gt;=0.5,"Medio","Bajo")))</f>
        <v/>
      </c>
      <c r="Z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23">
        <f>IF(COUNTA(N27:W27)-COUNTIF(N27:W27,"N/A")=0,"",(COUNTIF(N27:W27,"Sí")+0.5*COUNTIF(N27:W27,"Parcial"))/(COUNTA(N27:W27)-COUNTIF(N27:W27,"N/A")))</f>
        <v/>
      </c>
      <c r="Y27" s="24">
        <f>IF(X27="","",IF(X27&gt;=0.8,"Alto",IF(X27&gt;=0.5,"Medio","Bajo")))</f>
        <v/>
      </c>
      <c r="Z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23">
        <f>IF(COUNTA(N28:W28)-COUNTIF(N28:W28,"N/A")=0,"",(COUNTIF(N28:W28,"Sí")+0.5*COUNTIF(N28:W28,"Parcial"))/(COUNTA(N28:W28)-COUNTIF(N28:W28,"N/A")))</f>
        <v/>
      </c>
      <c r="Y28" s="24">
        <f>IF(X28="","",IF(X28&gt;=0.8,"Alto",IF(X28&gt;=0.5,"Medio","Bajo")))</f>
        <v/>
      </c>
      <c r="Z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23">
        <f>IF(COUNTA(N29:W29)-COUNTIF(N29:W29,"N/A")=0,"",(COUNTIF(N29:W29,"Sí")+0.5*COUNTIF(N29:W29,"Parcial"))/(COUNTA(N29:W29)-COUNTIF(N29:W29,"N/A")))</f>
        <v/>
      </c>
      <c r="Y29" s="24">
        <f>IF(X29="","",IF(X29&gt;=0.8,"Alto",IF(X29&gt;=0.5,"Medio","Bajo")))</f>
        <v/>
      </c>
      <c r="Z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23">
        <f>IF(COUNTA(N30:W30)-COUNTIF(N30:W30,"N/A")=0,"",(COUNTIF(N30:W30,"Sí")+0.5*COUNTIF(N30:W30,"Parcial"))/(COUNTA(N30:W30)-COUNTIF(N30:W30,"N/A")))</f>
        <v/>
      </c>
      <c r="Y30" s="24">
        <f>IF(X30="","",IF(X30&gt;=0.8,"Alto",IF(X30&gt;=0.5,"Medio","Bajo")))</f>
        <v/>
      </c>
      <c r="Z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23">
        <f>IF(COUNTA(N31:W31)-COUNTIF(N31:W31,"N/A")=0,"",(COUNTIF(N31:W31,"Sí")+0.5*COUNTIF(N31:W31,"Parcial"))/(COUNTA(N31:W31)-COUNTIF(N31:W31,"N/A")))</f>
        <v/>
      </c>
      <c r="Y31" s="24">
        <f>IF(X31="","",IF(X31&gt;=0.8,"Alto",IF(X31&gt;=0.5,"Medio","Bajo")))</f>
        <v/>
      </c>
      <c r="Z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23">
        <f>IF(COUNTA(N32:W32)-COUNTIF(N32:W32,"N/A")=0,"",(COUNTIF(N32:W32,"Sí")+0.5*COUNTIF(N32:W32,"Parcial"))/(COUNTA(N32:W32)-COUNTIF(N32:W32,"N/A")))</f>
        <v/>
      </c>
      <c r="Y32" s="24">
        <f>IF(X32="","",IF(X32&gt;=0.8,"Alto",IF(X32&gt;=0.5,"Medio","Bajo")))</f>
        <v/>
      </c>
      <c r="Z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23">
        <f>IF(COUNTA(N33:W33)-COUNTIF(N33:W33,"N/A")=0,"",(COUNTIF(N33:W33,"Sí")+0.5*COUNTIF(N33:W33,"Parcial"))/(COUNTA(N33:W33)-COUNTIF(N33:W33,"N/A")))</f>
        <v/>
      </c>
      <c r="Y33" s="24">
        <f>IF(X33="","",IF(X33&gt;=0.8,"Alto",IF(X33&gt;=0.5,"Medio","Bajo")))</f>
        <v/>
      </c>
      <c r="Z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23">
        <f>IF(COUNTA(N34:W34)-COUNTIF(N34:W34,"N/A")=0,"",(COUNTIF(N34:W34,"Sí")+0.5*COUNTIF(N34:W34,"Parcial"))/(COUNTA(N34:W34)-COUNTIF(N34:W34,"N/A")))</f>
        <v/>
      </c>
      <c r="Y34" s="24">
        <f>IF(X34="","",IF(X34&gt;=0.8,"Alto",IF(X34&gt;=0.5,"Medio","Bajo")))</f>
        <v/>
      </c>
      <c r="Z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23">
        <f>IF(COUNTA(N35:W35)-COUNTIF(N35:W35,"N/A")=0,"",(COUNTIF(N35:W35,"Sí")+0.5*COUNTIF(N35:W35,"Parcial"))/(COUNTA(N35:W35)-COUNTIF(N35:W35,"N/A")))</f>
        <v/>
      </c>
      <c r="Y35" s="24">
        <f>IF(X35="","",IF(X35&gt;=0.8,"Alto",IF(X35&gt;=0.5,"Medio","Bajo")))</f>
        <v/>
      </c>
      <c r="Z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23">
        <f>IF(COUNTA(N36:W36)-COUNTIF(N36:W36,"N/A")=0,"",(COUNTIF(N36:W36,"Sí")+0.5*COUNTIF(N36:W36,"Parcial"))/(COUNTA(N36:W36)-COUNTIF(N36:W36,"N/A")))</f>
        <v/>
      </c>
      <c r="Y36" s="24">
        <f>IF(X36="","",IF(X36&gt;=0.8,"Alto",IF(X36&gt;=0.5,"Medio","Bajo")))</f>
        <v/>
      </c>
      <c r="Z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23">
        <f>IF(COUNTA(N37:W37)-COUNTIF(N37:W37,"N/A")=0,"",(COUNTIF(N37:W37,"Sí")+0.5*COUNTIF(N37:W37,"Parcial"))/(COUNTA(N37:W37)-COUNTIF(N37:W37,"N/A")))</f>
        <v/>
      </c>
      <c r="Y37" s="24">
        <f>IF(X37="","",IF(X37&gt;=0.8,"Alto",IF(X37&gt;=0.5,"Medio","Bajo")))</f>
        <v/>
      </c>
      <c r="Z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23">
        <f>IF(COUNTA(N38:W38)-COUNTIF(N38:W38,"N/A")=0,"",(COUNTIF(N38:W38,"Sí")+0.5*COUNTIF(N38:W38,"Parcial"))/(COUNTA(N38:W38)-COUNTIF(N38:W38,"N/A")))</f>
        <v/>
      </c>
      <c r="Y38" s="24">
        <f>IF(X38="","",IF(X38&gt;=0.8,"Alto",IF(X38&gt;=0.5,"Medio","Bajo")))</f>
        <v/>
      </c>
      <c r="Z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23">
        <f>IF(COUNTA(N39:W39)-COUNTIF(N39:W39,"N/A")=0,"",(COUNTIF(N39:W39,"Sí")+0.5*COUNTIF(N39:W39,"Parcial"))/(COUNTA(N39:W39)-COUNTIF(N39:W39,"N/A")))</f>
        <v/>
      </c>
      <c r="Y39" s="24">
        <f>IF(X39="","",IF(X39&gt;=0.8,"Alto",IF(X39&gt;=0.5,"Medio","Bajo")))</f>
        <v/>
      </c>
      <c r="Z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23">
        <f>IF(COUNTA(N40:W40)-COUNTIF(N40:W40,"N/A")=0,"",(COUNTIF(N40:W40,"Sí")+0.5*COUNTIF(N40:W40,"Parcial"))/(COUNTA(N40:W40)-COUNTIF(N40:W40,"N/A")))</f>
        <v/>
      </c>
      <c r="Y40" s="24">
        <f>IF(X40="","",IF(X40&gt;=0.8,"Alto",IF(X40&gt;=0.5,"Medio","Bajo")))</f>
        <v/>
      </c>
      <c r="Z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23">
        <f>IF(COUNTA(N41:W41)-COUNTIF(N41:W41,"N/A")=0,"",(COUNTIF(N41:W41,"Sí")+0.5*COUNTIF(N41:W41,"Parcial"))/(COUNTA(N41:W41)-COUNTIF(N41:W41,"N/A")))</f>
        <v/>
      </c>
      <c r="Y41" s="24">
        <f>IF(X41="","",IF(X41&gt;=0.8,"Alto",IF(X41&gt;=0.5,"Medio","Bajo")))</f>
        <v/>
      </c>
      <c r="Z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23">
        <f>IF(COUNTA(N42:W42)-COUNTIF(N42:W42,"N/A")=0,"",(COUNTIF(N42:W42,"Sí")+0.5*COUNTIF(N42:W42,"Parcial"))/(COUNTA(N42:W42)-COUNTIF(N42:W42,"N/A")))</f>
        <v/>
      </c>
      <c r="Y42" s="24">
        <f>IF(X42="","",IF(X42&gt;=0.8,"Alto",IF(X42&gt;=0.5,"Medio","Bajo")))</f>
        <v/>
      </c>
      <c r="Z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23">
        <f>IF(COUNTA(N43:W43)-COUNTIF(N43:W43,"N/A")=0,"",(COUNTIF(N43:W43,"Sí")+0.5*COUNTIF(N43:W43,"Parcial"))/(COUNTA(N43:W43)-COUNTIF(N43:W43,"N/A")))</f>
        <v/>
      </c>
      <c r="Y43" s="24">
        <f>IF(X43="","",IF(X43&gt;=0.8,"Alto",IF(X43&gt;=0.5,"Medio","Bajo")))</f>
        <v/>
      </c>
      <c r="Z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23">
        <f>IF(COUNTA(N44:W44)-COUNTIF(N44:W44,"N/A")=0,"",(COUNTIF(N44:W44,"Sí")+0.5*COUNTIF(N44:W44,"Parcial"))/(COUNTA(N44:W44)-COUNTIF(N44:W44,"N/A")))</f>
        <v/>
      </c>
      <c r="Y44" s="24">
        <f>IF(X44="","",IF(X44&gt;=0.8,"Alto",IF(X44&gt;=0.5,"Medio","Bajo")))</f>
        <v/>
      </c>
      <c r="Z44" s="15" t="n"/>
    </row>
  </sheetData>
  <mergeCells count="4">
    <mergeCell ref="R3:S3"/>
    <mergeCell ref="T3:V3"/>
    <mergeCell ref="N3:P3"/>
    <mergeCell ref="A2:Z2"/>
  </mergeCells>
  <conditionalFormatting sqref="N5:W44">
    <cfRule type="cellIs" priority="1" operator="equal" dxfId="1">
      <formula>"No"</formula>
    </cfRule>
    <cfRule type="cellIs" priority="2" operator="equal" dxfId="2">
      <formula>"Parcial"</formula>
    </cfRule>
    <cfRule type="cellIs" priority="3" operator="equal" dxfId="0">
      <formula>"Sí"</formula>
    </cfRule>
  </conditionalFormatting>
  <dataValidations count="4">
    <dataValidation sqref="B5:B200" showDropDown="0" showInputMessage="0" showErrorMessage="0" allowBlank="1" type="list">
      <formula1>"IFRS17,TraMos,Otro"</formula1>
    </dataValidation>
    <dataValidation sqref="G5:G200" showDropDown="0" showInputMessage="0" showErrorMessage="0" allowBlank="1" type="list">
      <formula1>"Batch,Online/API,Evento,Archivo/SFTP,IDoc/RFC,Otro"</formula1>
    </dataValidation>
    <dataValidation sqref="K5:K200" showDropDown="0" showInputMessage="0" showErrorMessage="0" allowBlank="1" type="list">
      <formula1>"Sí,No,Por confirmar"</formula1>
    </dataValidation>
    <dataValidation sqref="N5:W200" showDropDown="0" showInputMessage="0" showErrorMessage="0" allowBlank="1" type="list">
      <formula1>"Sí,Parcial,No,N/A"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5AA6"/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70" customWidth="1" min="4" max="4"/>
    <col width="40" customWidth="1" min="5" max="5"/>
    <col width="24" customWidth="1" min="6" max="6"/>
    <col width="11" customWidth="1" min="7" max="7"/>
  </cols>
  <sheetData>
    <row r="1">
      <c r="A1" s="1" t="inlineStr">
        <is>
          <t>Cuestionario de entrevistas del assessment</t>
        </is>
      </c>
    </row>
    <row r="2" ht="32" customHeight="1">
      <c r="A2" s="12" t="inlineStr">
        <is>
          <t>Agrupado por audiencia. Registre la respuesta y si genera un gap (luego pásalo a la hoja 5).</t>
        </is>
      </c>
    </row>
    <row r="4" ht="34" customHeight="1">
      <c r="A4" s="13" t="inlineStr">
        <is>
          <t>#</t>
        </is>
      </c>
      <c r="B4" s="13" t="inlineStr">
        <is>
          <t>Audiencia</t>
        </is>
      </c>
      <c r="C4" s="13" t="inlineStr">
        <is>
          <t>Pilar SOX</t>
        </is>
      </c>
      <c r="D4" s="13" t="inlineStr">
        <is>
          <t>Pregunta</t>
        </is>
      </c>
      <c r="E4" s="13" t="inlineStr">
        <is>
          <t>Respuesta</t>
        </is>
      </c>
      <c r="F4" s="13" t="inlineStr">
        <is>
          <t>Fuente / evidencia</t>
        </is>
      </c>
      <c r="G4" s="13" t="inlineStr">
        <is>
          <t>¿Genera gap?</t>
        </is>
      </c>
    </row>
    <row r="5">
      <c r="A5" s="14" t="n">
        <v>1</v>
      </c>
      <c r="B5" s="14" t="inlineStr">
        <is>
          <t>Dueño control / Riesgos SOX</t>
        </is>
      </c>
      <c r="C5" s="14" t="inlineStr">
        <is>
          <t>General</t>
        </is>
      </c>
      <c r="D5" s="14" t="inlineStr">
        <is>
          <t>¿Cuál es la narrativa oficial del control y en qué RCM está registrado? ¿Frecuencia de ejecución?</t>
        </is>
      </c>
      <c r="E5" s="15" t="inlineStr"/>
      <c r="F5" s="15" t="inlineStr"/>
      <c r="G5" s="15" t="inlineStr"/>
    </row>
    <row r="6">
      <c r="A6" s="14" t="n">
        <v>2</v>
      </c>
      <c r="B6" s="14" t="inlineStr">
        <is>
          <t>Dueño control / Riesgos SOX</t>
        </is>
      </c>
      <c r="C6" s="14" t="inlineStr">
        <is>
          <t>Trazabilidad y evidencia</t>
        </is>
      </c>
      <c r="D6" s="14" t="inlineStr">
        <is>
          <t>¿Qué evidencia exige el auditor para concluir que el control operó eficazmente? ¿Formato y periodo de retención?</t>
        </is>
      </c>
      <c r="E6" s="15" t="inlineStr"/>
      <c r="F6" s="15" t="inlineStr"/>
      <c r="G6" s="15" t="inlineStr"/>
    </row>
    <row r="7">
      <c r="A7" s="14" t="n">
        <v>3</v>
      </c>
      <c r="B7" s="14" t="inlineStr">
        <is>
          <t>Dueño control / Riesgos SOX</t>
        </is>
      </c>
      <c r="C7" s="14" t="inlineStr">
        <is>
          <t>General</t>
        </is>
      </c>
      <c r="D7" s="14" t="inlineStr">
        <is>
          <t>¿Qué interfaces están priorizadas por el control y con qué criterio se priorizaron?</t>
        </is>
      </c>
      <c r="E7" s="15" t="inlineStr"/>
      <c r="F7" s="15" t="inlineStr"/>
      <c r="G7" s="15" t="inlineStr"/>
    </row>
    <row r="8">
      <c r="A8" s="14" t="n">
        <v>4</v>
      </c>
      <c r="B8" s="14" t="inlineStr">
        <is>
          <t>Dueño control / Riesgos SOX</t>
        </is>
      </c>
      <c r="C8" s="14" t="inlineStr">
        <is>
          <t>Gestión de excepciones</t>
        </is>
      </c>
      <c r="D8" s="14" t="inlineStr">
        <is>
          <t>¿Qué se considera excepción? ¿Tiempos máximos para resolver o escalar?</t>
        </is>
      </c>
      <c r="E8" s="15" t="inlineStr"/>
      <c r="F8" s="15" t="inlineStr"/>
      <c r="G8" s="15" t="inlineStr"/>
    </row>
    <row r="9">
      <c r="A9" s="14" t="n">
        <v>5</v>
      </c>
      <c r="B9" s="14" t="inlineStr">
        <is>
          <t>Dueño control / Riesgos SOX</t>
        </is>
      </c>
      <c r="C9" s="14" t="inlineStr">
        <is>
          <t>General</t>
        </is>
      </c>
      <c r="D9" s="14" t="inlineStr">
        <is>
          <t>¿Hay hallazgos o deficiencias de auditoría previos relacionados con interfaces?</t>
        </is>
      </c>
      <c r="E9" s="15" t="inlineStr"/>
      <c r="F9" s="15" t="inlineStr"/>
      <c r="G9" s="15" t="inlineStr"/>
    </row>
    <row r="10">
      <c r="A10" s="14" t="n">
        <v>6</v>
      </c>
      <c r="B10" s="14" t="inlineStr">
        <is>
          <t>Arquitectura / capa media</t>
        </is>
      </c>
      <c r="C10" s="14" t="inlineStr">
        <is>
          <t>Ejecución</t>
        </is>
      </c>
      <c r="D10" s="14" t="inlineStr">
        <is>
          <t>¿Qué tecnologías componen la capa media (API gateway, ESB, iPaaS, broker, batch/SFTP)? ¿Hay diagramas actualizados?</t>
        </is>
      </c>
      <c r="E10" s="15" t="inlineStr"/>
      <c r="F10" s="15" t="inlineStr"/>
      <c r="G10" s="15" t="inlineStr"/>
    </row>
    <row r="11">
      <c r="A11" s="14" t="n">
        <v>7</v>
      </c>
      <c r="B11" s="14" t="inlineStr">
        <is>
          <t>Arquitectura / capa media</t>
        </is>
      </c>
      <c r="C11" s="14" t="inlineStr">
        <is>
          <t>Trazabilidad y evidencia</t>
        </is>
      </c>
      <c r="D11" s="14" t="inlineStr">
        <is>
          <t>¿Se genera y propaga un correlation-id / traceparent en todos los saltos, incluyendo SAP?</t>
        </is>
      </c>
      <c r="E11" s="15" t="inlineStr"/>
      <c r="F11" s="15" t="inlineStr"/>
      <c r="G11" s="15" t="inlineStr"/>
    </row>
    <row r="12">
      <c r="A12" s="14" t="n">
        <v>8</v>
      </c>
      <c r="B12" s="14" t="inlineStr">
        <is>
          <t>Arquitectura / capa media</t>
        </is>
      </c>
      <c r="C12" s="14" t="inlineStr">
        <is>
          <t>Ejecución</t>
        </is>
      </c>
      <c r="D12" s="14" t="inlineStr">
        <is>
          <t>¿Cómo se registra el inicio, fin y resultado de cada ejecución de interfaz?</t>
        </is>
      </c>
      <c r="E12" s="15" t="inlineStr"/>
      <c r="F12" s="15" t="inlineStr"/>
      <c r="G12" s="15" t="inlineStr"/>
    </row>
    <row r="13">
      <c r="A13" s="14" t="n">
        <v>9</v>
      </c>
      <c r="B13" s="14" t="inlineStr">
        <is>
          <t>Arquitectura / capa media</t>
        </is>
      </c>
      <c r="C13" s="14" t="inlineStr">
        <is>
          <t>Completitud y oportunidad</t>
        </is>
      </c>
      <c r="D13" s="14" t="inlineStr">
        <is>
          <t>¿Existe conteo o checksum de registros enviados vs recibidos? ¿Dónde queda?</t>
        </is>
      </c>
      <c r="E13" s="15" t="inlineStr"/>
      <c r="F13" s="15" t="inlineStr"/>
      <c r="G13" s="15" t="inlineStr"/>
    </row>
    <row r="14">
      <c r="A14" s="14" t="n">
        <v>10</v>
      </c>
      <c r="B14" s="14" t="inlineStr">
        <is>
          <t>Equipos IFRS17 / TraMos</t>
        </is>
      </c>
      <c r="C14" s="14" t="inlineStr">
        <is>
          <t>General</t>
        </is>
      </c>
      <c r="D14" s="14" t="inlineStr">
        <is>
          <t>¿Qué integraciones están en construcción, en qué estado y cuál es el calendario de salida a producción?</t>
        </is>
      </c>
      <c r="E14" s="15" t="inlineStr"/>
      <c r="F14" s="15" t="inlineStr"/>
      <c r="G14" s="15" t="inlineStr"/>
    </row>
    <row r="15">
      <c r="A15" s="14" t="n">
        <v>11</v>
      </c>
      <c r="B15" s="14" t="inlineStr">
        <is>
          <t>Equipos IFRS17 / TraMos</t>
        </is>
      </c>
      <c r="C15" s="14" t="inlineStr">
        <is>
          <t>Trazabilidad y evidencia</t>
        </is>
      </c>
      <c r="D15" s="14" t="inlineStr">
        <is>
          <t>¿Es viable incorporar enriquecimiento de trazas (ids, metadatos) sin afectar su plan actual?</t>
        </is>
      </c>
      <c r="E15" s="15" t="inlineStr"/>
      <c r="F15" s="15" t="inlineStr"/>
      <c r="G15" s="15" t="inlineStr"/>
    </row>
    <row r="16">
      <c r="A16" s="14" t="n">
        <v>12</v>
      </c>
      <c r="B16" s="14" t="inlineStr">
        <is>
          <t>Equipos IFRS17 / TraMos</t>
        </is>
      </c>
      <c r="C16" s="14" t="inlineStr">
        <is>
          <t>Gestión de excepciones</t>
        </is>
      </c>
      <c r="D16" s="14" t="inlineStr">
        <is>
          <t>¿Cómo manejan hoy los rechazos y reprocesos? ¿Son manuales o automáticos?</t>
        </is>
      </c>
      <c r="E16" s="15" t="inlineStr"/>
      <c r="F16" s="15" t="inlineStr"/>
      <c r="G16" s="15" t="inlineStr"/>
    </row>
    <row r="17">
      <c r="A17" s="14" t="n">
        <v>13</v>
      </c>
      <c r="B17" s="14" t="inlineStr">
        <is>
          <t>Equipo SAP</t>
        </is>
      </c>
      <c r="C17" s="14" t="inlineStr">
        <is>
          <t>Completitud y oportunidad</t>
        </is>
      </c>
      <c r="D17" s="14" t="inlineStr">
        <is>
          <t>¿Cómo confirma SAP la recepción/contabilización (IDoc status, logs de aplicación, tablas)? ¿Es consultable por API?</t>
        </is>
      </c>
      <c r="E17" s="15" t="inlineStr"/>
      <c r="F17" s="15" t="inlineStr"/>
      <c r="G17" s="15" t="inlineStr"/>
    </row>
    <row r="18">
      <c r="A18" s="14" t="n">
        <v>14</v>
      </c>
      <c r="B18" s="14" t="inlineStr">
        <is>
          <t>Equipo SAP</t>
        </is>
      </c>
      <c r="C18" s="14" t="inlineStr">
        <is>
          <t>Ejecución</t>
        </is>
      </c>
      <c r="D18" s="14" t="inlineStr">
        <is>
          <t>¿SAP emite logs/trazas hacia el backend de observabilidad? ¿ECC y S/4HANA conviven?</t>
        </is>
      </c>
      <c r="E18" s="15" t="inlineStr"/>
      <c r="F18" s="15" t="inlineStr"/>
      <c r="G18" s="15" t="inlineStr"/>
    </row>
    <row r="19">
      <c r="A19" s="14" t="n">
        <v>15</v>
      </c>
      <c r="B19" s="14" t="inlineStr">
        <is>
          <t>Observabilidad / plataforma</t>
        </is>
      </c>
      <c r="C19" s="14" t="inlineStr">
        <is>
          <t>Trazabilidad y evidencia</t>
        </is>
      </c>
      <c r="D19" s="14" t="inlineStr">
        <is>
          <t>¿Qué backend de observabilidad se usa, qué cobertura tiene y cuál es la retención de logs/trazas?</t>
        </is>
      </c>
      <c r="E19" s="15" t="inlineStr"/>
      <c r="F19" s="15" t="inlineStr"/>
      <c r="G19" s="15" t="inlineStr"/>
    </row>
    <row r="20">
      <c r="A20" s="14" t="n">
        <v>16</v>
      </c>
      <c r="B20" s="14" t="inlineStr">
        <is>
          <t>Observabilidad / plataforma</t>
        </is>
      </c>
      <c r="C20" s="14" t="inlineStr">
        <is>
          <t>Ejecución</t>
        </is>
      </c>
      <c r="D20" s="14" t="inlineStr">
        <is>
          <t>¿Qué alertas existen hoy sobre interfaces? ¿Quién las recibe?</t>
        </is>
      </c>
      <c r="E20" s="15" t="inlineStr"/>
      <c r="F20" s="15" t="inlineStr"/>
      <c r="G20" s="15" t="inlineStr"/>
    </row>
    <row r="21">
      <c r="A21" s="14" t="n">
        <v>17</v>
      </c>
      <c r="B21" s="14" t="inlineStr">
        <is>
          <t>Observabilidad / plataforma</t>
        </is>
      </c>
      <c r="C21" s="14" t="inlineStr">
        <is>
          <t>General</t>
        </is>
      </c>
      <c r="D21" s="14" t="inlineStr">
        <is>
          <t>¿Hay APIs para consultar trazas por correlation-id? ¿Existe broker de mensajería disponible para eventos?</t>
        </is>
      </c>
      <c r="E21" s="15" t="inlineStr"/>
      <c r="F21" s="15" t="inlineStr"/>
      <c r="G21" s="15" t="inlineStr"/>
    </row>
    <row r="22">
      <c r="A22" s="14" t="n">
        <v>18</v>
      </c>
      <c r="B22" s="14" t="inlineStr">
        <is>
          <t>Mesa de servicio / ITSM</t>
        </is>
      </c>
      <c r="C22" s="14" t="inlineStr">
        <is>
          <t>Gestión de excepciones</t>
        </is>
      </c>
      <c r="D22" s="14" t="inlineStr">
        <is>
          <t>¿Qué herramienta ITSM se usa? ¿Tiene API para crear y actualizar casos? ¿Categorías/CI para interfaces SOX?</t>
        </is>
      </c>
      <c r="E22" s="15" t="inlineStr"/>
      <c r="F22" s="15" t="inlineStr"/>
      <c r="G22" s="15" t="inlineStr"/>
    </row>
    <row r="23">
      <c r="A23" s="14" t="n">
        <v>19</v>
      </c>
      <c r="B23" s="14" t="inlineStr">
        <is>
          <t>Mesa de servicio / ITSM</t>
        </is>
      </c>
      <c r="C23" s="14" t="inlineStr">
        <is>
          <t>Trazabilidad y evidencia</t>
        </is>
      </c>
      <c r="D23" s="14" t="inlineStr">
        <is>
          <t>¿Cómo se documenta causa, tratamiento y cierre de un incidente? ¿Se vincula a la ejecución fallida?</t>
        </is>
      </c>
      <c r="E23" s="15" t="inlineStr"/>
      <c r="F23" s="15" t="inlineStr"/>
      <c r="G23" s="15" t="inlineStr"/>
    </row>
    <row r="24">
      <c r="A24" s="14" t="n">
        <v>20</v>
      </c>
      <c r="B24" s="14" t="inlineStr">
        <is>
          <t>Seguridad / datos</t>
        </is>
      </c>
      <c r="C24" s="14" t="inlineStr">
        <is>
          <t>General</t>
        </is>
      </c>
      <c r="D24" s="14" t="inlineStr">
        <is>
          <t>¿Restricciones para enviar logs (posibles datos sensibles) a un LLM? ¿Modelos/plataformas IA aprobados por SURA?</t>
        </is>
      </c>
      <c r="E24" s="15" t="inlineStr"/>
      <c r="F24" s="15" t="inlineStr"/>
      <c r="G24" s="15" t="inlineStr"/>
    </row>
  </sheetData>
  <mergeCells count="1">
    <mergeCell ref="A2:G2"/>
  </mergeCells>
  <dataValidations count="1">
    <dataValidation sqref="G5:G2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5AA6"/>
    <outlinePr summaryBelow="1" summaryRight="1"/>
    <pageSetUpPr/>
  </sheetPr>
  <dimension ref="A1:N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45" customWidth="1" min="4" max="4"/>
    <col width="10" customWidth="1" min="5" max="5"/>
    <col width="11" customWidth="1" min="6" max="6"/>
    <col width="9" customWidth="1" min="7" max="7"/>
    <col width="10" customWidth="1" min="8" max="8"/>
    <col width="40" customWidth="1" min="9" max="9"/>
    <col width="20" customWidth="1" min="10" max="10"/>
    <col width="10" customWidth="1" min="11" max="11"/>
    <col width="16" customWidth="1" min="12" max="12"/>
    <col width="10" customWidth="1" min="13" max="13"/>
    <col width="12" customWidth="1" min="14" max="14"/>
  </cols>
  <sheetData>
    <row r="1">
      <c r="A1" s="1" t="inlineStr">
        <is>
          <t>Matriz de gaps y plan de acción</t>
        </is>
      </c>
    </row>
    <row r="2" ht="32" customHeight="1">
      <c r="A2" s="12" t="inlineStr">
        <is>
          <t>Puntaje = Impacto × Probabilidad. Prioridad: ≥6 Alta, 3-5 Media, &lt;3 Baja. Fila gris = ejemplo.</t>
        </is>
      </c>
    </row>
    <row r="4" ht="34" customHeight="1">
      <c r="A4" s="13" t="inlineStr">
        <is>
          <t>ID Gap</t>
        </is>
      </c>
      <c r="B4" s="13" t="inlineStr">
        <is>
          <t>Integración (ID)</t>
        </is>
      </c>
      <c r="C4" s="13" t="inlineStr">
        <is>
          <t>Pilar SOX</t>
        </is>
      </c>
      <c r="D4" s="13" t="inlineStr">
        <is>
          <t>Descripción del gap</t>
        </is>
      </c>
      <c r="E4" s="13" t="inlineStr">
        <is>
          <t>Impacto (1-3)</t>
        </is>
      </c>
      <c r="F4" s="13" t="inlineStr">
        <is>
          <t>Probabilidad (1-3)</t>
        </is>
      </c>
      <c r="G4" s="13" t="inlineStr">
        <is>
          <t>Puntaje</t>
        </is>
      </c>
      <c r="H4" s="13" t="inlineStr">
        <is>
          <t>Prioridad</t>
        </is>
      </c>
      <c r="I4" s="13" t="inlineStr">
        <is>
          <t>Acción propuesta</t>
        </is>
      </c>
      <c r="J4" s="13" t="inlineStr">
        <is>
          <t>Tipo de solución</t>
        </is>
      </c>
      <c r="K4" s="13" t="inlineStr">
        <is>
          <t>Esfuerzo (T-shirt)</t>
        </is>
      </c>
      <c r="L4" s="13" t="inlineStr">
        <is>
          <t>Responsable</t>
        </is>
      </c>
      <c r="M4" s="13" t="inlineStr">
        <is>
          <t>Sprint Etapa 2</t>
        </is>
      </c>
      <c r="N4" s="13" t="inlineStr">
        <is>
          <t>Estado</t>
        </is>
      </c>
    </row>
    <row r="5">
      <c r="A5" s="22" t="inlineStr">
        <is>
          <t>GAP-001</t>
        </is>
      </c>
      <c r="B5" s="22" t="inlineStr">
        <is>
          <t>INT-001</t>
        </is>
      </c>
      <c r="C5" s="22" t="inlineStr">
        <is>
          <t>Trazabilidad y evidencia</t>
        </is>
      </c>
      <c r="D5" s="22" t="inlineStr">
        <is>
          <t>No se propaga traceparent entre ESB y SAP; no es posible correlacionar la ejecución E2E.</t>
        </is>
      </c>
      <c r="E5" s="22" t="n">
        <v>3</v>
      </c>
      <c r="F5" s="22" t="n">
        <v>2</v>
      </c>
      <c r="G5" s="24">
        <f>IF(OR(E5="",F5=""),"",E5*F5)</f>
        <v/>
      </c>
      <c r="H5" s="24">
        <f>IF(G5="","",IF(G5&gt;=6,"Alta",IF(G5&gt;=3,"Media","Baja")))</f>
        <v/>
      </c>
      <c r="I5" s="22" t="inlineStr">
        <is>
          <t>Enriquecer cabeceras en ESB y registrar id en SAP (log de aplicación).</t>
        </is>
      </c>
      <c r="J5" s="22" t="inlineStr">
        <is>
          <t>Gap capa media</t>
        </is>
      </c>
      <c r="K5" s="22" t="inlineStr">
        <is>
          <t>M</t>
        </is>
      </c>
      <c r="L5" s="22" t="inlineStr">
        <is>
          <t>Arq Integraciones</t>
        </is>
      </c>
      <c r="M5" s="22" t="inlineStr">
        <is>
          <t>S3</t>
        </is>
      </c>
      <c r="N5" s="22" t="inlineStr">
        <is>
          <t>Abierto</t>
        </is>
      </c>
    </row>
    <row r="6">
      <c r="A6" s="15" t="n"/>
      <c r="B6" s="15" t="n"/>
      <c r="C6" s="15" t="n"/>
      <c r="D6" s="15" t="n"/>
      <c r="E6" s="15" t="n"/>
      <c r="F6" s="15" t="n"/>
      <c r="G6" s="24">
        <f>IF(OR(E6="",F6=""),"",E6*F6)</f>
        <v/>
      </c>
      <c r="H6" s="24">
        <f>IF(G6="","",IF(G6&gt;=6,"Alta",IF(G6&gt;=3,"Media","Baja")))</f>
        <v/>
      </c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24">
        <f>IF(OR(E7="",F7=""),"",E7*F7)</f>
        <v/>
      </c>
      <c r="H7" s="24">
        <f>IF(G7="","",IF(G7&gt;=6,"Alta",IF(G7&gt;=3,"Media","Baja")))</f>
        <v/>
      </c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24">
        <f>IF(OR(E8="",F8=""),"",E8*F8)</f>
        <v/>
      </c>
      <c r="H8" s="24">
        <f>IF(G8="","",IF(G8&gt;=6,"Alta",IF(G8&gt;=3,"Media","Baja")))</f>
        <v/>
      </c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24">
        <f>IF(OR(E9="",F9=""),"",E9*F9)</f>
        <v/>
      </c>
      <c r="H9" s="24">
        <f>IF(G9="","",IF(G9&gt;=6,"Alta",IF(G9&gt;=3,"Media","Baja")))</f>
        <v/>
      </c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24">
        <f>IF(OR(E10="",F10=""),"",E10*F10)</f>
        <v/>
      </c>
      <c r="H10" s="24">
        <f>IF(G10="","",IF(G10&gt;=6,"Alta",IF(G10&gt;=3,"Media","Baja")))</f>
        <v/>
      </c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24">
        <f>IF(OR(E11="",F11=""),"",E11*F11)</f>
        <v/>
      </c>
      <c r="H11" s="24">
        <f>IF(G11="","",IF(G11&gt;=6,"Alta",IF(G11&gt;=3,"Media","Baja")))</f>
        <v/>
      </c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24">
        <f>IF(OR(E12="",F12=""),"",E12*F12)</f>
        <v/>
      </c>
      <c r="H12" s="24">
        <f>IF(G12="","",IF(G12&gt;=6,"Alta",IF(G12&gt;=3,"Media","Baja")))</f>
        <v/>
      </c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24">
        <f>IF(OR(E13="",F13=""),"",E13*F13)</f>
        <v/>
      </c>
      <c r="H13" s="24">
        <f>IF(G13="","",IF(G13&gt;=6,"Alta",IF(G13&gt;=3,"Media","Baja")))</f>
        <v/>
      </c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24">
        <f>IF(OR(E14="",F14=""),"",E14*F14)</f>
        <v/>
      </c>
      <c r="H14" s="24">
        <f>IF(G14="","",IF(G14&gt;=6,"Alta",IF(G14&gt;=3,"Media","Baja")))</f>
        <v/>
      </c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24">
        <f>IF(OR(E15="",F15=""),"",E15*F15)</f>
        <v/>
      </c>
      <c r="H15" s="24">
        <f>IF(G15="","",IF(G15&gt;=6,"Alta",IF(G15&gt;=3,"Media","Baja")))</f>
        <v/>
      </c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24">
        <f>IF(OR(E16="",F16=""),"",E16*F16)</f>
        <v/>
      </c>
      <c r="H16" s="24">
        <f>IF(G16="","",IF(G16&gt;=6,"Alta",IF(G16&gt;=3,"Media","Baja")))</f>
        <v/>
      </c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24">
        <f>IF(OR(E17="",F17=""),"",E17*F17)</f>
        <v/>
      </c>
      <c r="H17" s="24">
        <f>IF(G17="","",IF(G17&gt;=6,"Alta",IF(G17&gt;=3,"Media","Baja")))</f>
        <v/>
      </c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24">
        <f>IF(OR(E18="",F18=""),"",E18*F18)</f>
        <v/>
      </c>
      <c r="H18" s="24">
        <f>IF(G18="","",IF(G18&gt;=6,"Alta",IF(G18&gt;=3,"Media","Baja")))</f>
        <v/>
      </c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24">
        <f>IF(OR(E19="",F19=""),"",E19*F19)</f>
        <v/>
      </c>
      <c r="H19" s="24">
        <f>IF(G19="","",IF(G19&gt;=6,"Alta",IF(G19&gt;=3,"Media","Baja")))</f>
        <v/>
      </c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24">
        <f>IF(OR(E20="",F20=""),"",E20*F20)</f>
        <v/>
      </c>
      <c r="H20" s="24">
        <f>IF(G20="","",IF(G20&gt;=6,"Alta",IF(G20&gt;=3,"Media","Baja")))</f>
        <v/>
      </c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24">
        <f>IF(OR(E21="",F21=""),"",E21*F21)</f>
        <v/>
      </c>
      <c r="H21" s="24">
        <f>IF(G21="","",IF(G21&gt;=6,"Alta",IF(G21&gt;=3,"Media","Baja")))</f>
        <v/>
      </c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24">
        <f>IF(OR(E22="",F22=""),"",E22*F22)</f>
        <v/>
      </c>
      <c r="H22" s="24">
        <f>IF(G22="","",IF(G22&gt;=6,"Alta",IF(G22&gt;=3,"Media","Baja")))</f>
        <v/>
      </c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24">
        <f>IF(OR(E23="",F23=""),"",E23*F23)</f>
        <v/>
      </c>
      <c r="H23" s="24">
        <f>IF(G23="","",IF(G23&gt;=6,"Alta",IF(G23&gt;=3,"Media","Baja")))</f>
        <v/>
      </c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24">
        <f>IF(OR(E24="",F24=""),"",E24*F24)</f>
        <v/>
      </c>
      <c r="H24" s="24">
        <f>IF(G24="","",IF(G24&gt;=6,"Alta",IF(G24&gt;=3,"Media","Baja")))</f>
        <v/>
      </c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24">
        <f>IF(OR(E25="",F25=""),"",E25*F25)</f>
        <v/>
      </c>
      <c r="H25" s="24">
        <f>IF(G25="","",IF(G25&gt;=6,"Alta",IF(G25&gt;=3,"Media","Baja")))</f>
        <v/>
      </c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24">
        <f>IF(OR(E26="",F26=""),"",E26*F26)</f>
        <v/>
      </c>
      <c r="H26" s="24">
        <f>IF(G26="","",IF(G26&gt;=6,"Alta",IF(G26&gt;=3,"Media","Baja")))</f>
        <v/>
      </c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24">
        <f>IF(OR(E27="",F27=""),"",E27*F27)</f>
        <v/>
      </c>
      <c r="H27" s="24">
        <f>IF(G27="","",IF(G27&gt;=6,"Alta",IF(G27&gt;=3,"Media","Baja")))</f>
        <v/>
      </c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24">
        <f>IF(OR(E28="",F28=""),"",E28*F28)</f>
        <v/>
      </c>
      <c r="H28" s="24">
        <f>IF(G28="","",IF(G28&gt;=6,"Alta",IF(G28&gt;=3,"Media","Baja")))</f>
        <v/>
      </c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24">
        <f>IF(OR(E29="",F29=""),"",E29*F29)</f>
        <v/>
      </c>
      <c r="H29" s="24">
        <f>IF(G29="","",IF(G29&gt;=6,"Alta",IF(G29&gt;=3,"Media","Baja")))</f>
        <v/>
      </c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24">
        <f>IF(OR(E30="",F30=""),"",E30*F30)</f>
        <v/>
      </c>
      <c r="H30" s="24">
        <f>IF(G30="","",IF(G30&gt;=6,"Alta",IF(G30&gt;=3,"Media","Baja")))</f>
        <v/>
      </c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24">
        <f>IF(OR(E31="",F31=""),"",E31*F31)</f>
        <v/>
      </c>
      <c r="H31" s="24">
        <f>IF(G31="","",IF(G31&gt;=6,"Alta",IF(G31&gt;=3,"Media","Baja")))</f>
        <v/>
      </c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24">
        <f>IF(OR(E32="",F32=""),"",E32*F32)</f>
        <v/>
      </c>
      <c r="H32" s="24">
        <f>IF(G32="","",IF(G32&gt;=6,"Alta",IF(G32&gt;=3,"Media","Baja")))</f>
        <v/>
      </c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24">
        <f>IF(OR(E33="",F33=""),"",E33*F33)</f>
        <v/>
      </c>
      <c r="H33" s="24">
        <f>IF(G33="","",IF(G33&gt;=6,"Alta",IF(G33&gt;=3,"Media","Baja")))</f>
        <v/>
      </c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24">
        <f>IF(OR(E34="",F34=""),"",E34*F34)</f>
        <v/>
      </c>
      <c r="H34" s="24">
        <f>IF(G34="","",IF(G34&gt;=6,"Alta",IF(G34&gt;=3,"Media","Baja")))</f>
        <v/>
      </c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24">
        <f>IF(OR(E35="",F35=""),"",E35*F35)</f>
        <v/>
      </c>
      <c r="H35" s="24">
        <f>IF(G35="","",IF(G35&gt;=6,"Alta",IF(G35&gt;=3,"Media","Baja")))</f>
        <v/>
      </c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24">
        <f>IF(OR(E36="",F36=""),"",E36*F36)</f>
        <v/>
      </c>
      <c r="H36" s="24">
        <f>IF(G36="","",IF(G36&gt;=6,"Alta",IF(G36&gt;=3,"Media","Baja")))</f>
        <v/>
      </c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24">
        <f>IF(OR(E37="",F37=""),"",E37*F37)</f>
        <v/>
      </c>
      <c r="H37" s="24">
        <f>IF(G37="","",IF(G37&gt;=6,"Alta",IF(G37&gt;=3,"Media","Baja")))</f>
        <v/>
      </c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24">
        <f>IF(OR(E38="",F38=""),"",E38*F38)</f>
        <v/>
      </c>
      <c r="H38" s="24">
        <f>IF(G38="","",IF(G38&gt;=6,"Alta",IF(G38&gt;=3,"Media","Baja")))</f>
        <v/>
      </c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24">
        <f>IF(OR(E39="",F39=""),"",E39*F39)</f>
        <v/>
      </c>
      <c r="H39" s="24">
        <f>IF(G39="","",IF(G39&gt;=6,"Alta",IF(G39&gt;=3,"Media","Baja")))</f>
        <v/>
      </c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24">
        <f>IF(OR(E40="",F40=""),"",E40*F40)</f>
        <v/>
      </c>
      <c r="H40" s="24">
        <f>IF(G40="","",IF(G40&gt;=6,"Alta",IF(G40&gt;=3,"Media","Baja")))</f>
        <v/>
      </c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24">
        <f>IF(OR(E41="",F41=""),"",E41*F41)</f>
        <v/>
      </c>
      <c r="H41" s="24">
        <f>IF(G41="","",IF(G41&gt;=6,"Alta",IF(G41&gt;=3,"Media","Baja")))</f>
        <v/>
      </c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24">
        <f>IF(OR(E42="",F42=""),"",E42*F42)</f>
        <v/>
      </c>
      <c r="H42" s="24">
        <f>IF(G42="","",IF(G42&gt;=6,"Alta",IF(G42&gt;=3,"Media","Baja")))</f>
        <v/>
      </c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24">
        <f>IF(OR(E43="",F43=""),"",E43*F43)</f>
        <v/>
      </c>
      <c r="H43" s="24">
        <f>IF(G43="","",IF(G43&gt;=6,"Alta",IF(G43&gt;=3,"Media","Baja")))</f>
        <v/>
      </c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24">
        <f>IF(OR(E44="",F44=""),"",E44*F44)</f>
        <v/>
      </c>
      <c r="H44" s="24">
        <f>IF(G44="","",IF(G44&gt;=6,"Alta",IF(G44&gt;=3,"Media","Baja")))</f>
        <v/>
      </c>
      <c r="I44" s="15" t="n"/>
      <c r="J44" s="15" t="n"/>
      <c r="K44" s="15" t="n"/>
      <c r="L44" s="15" t="n"/>
      <c r="M44" s="15" t="n"/>
      <c r="N44" s="15" t="n"/>
    </row>
  </sheetData>
  <mergeCells count="1">
    <mergeCell ref="A2:N2"/>
  </mergeCells>
  <conditionalFormatting sqref="H5:H44">
    <cfRule type="cellIs" priority="1" operator="equal" dxfId="1">
      <formula>"Alta"</formula>
    </cfRule>
    <cfRule type="cellIs" priority="2" operator="equal" dxfId="2">
      <formula>"Media"</formula>
    </cfRule>
    <cfRule type="cellIs" priority="3" operator="equal" dxfId="0">
      <formula>"Baja"</formula>
    </cfRule>
  </conditionalFormatting>
  <dataValidations count="5">
    <dataValidation sqref="C5:C200" showDropDown="0" showInputMessage="0" showErrorMessage="0" allowBlank="1" type="list">
      <formula1>"Ejecución,Completitud y oportunidad,Gestión de excepciones,Trazabilidad y evidencia"</formula1>
    </dataValidation>
    <dataValidation sqref="E5:F200" showDropDown="0" showInputMessage="0" showErrorMessage="0" allowBlank="1" type="list">
      <formula1>"1,2,3"</formula1>
    </dataValidation>
    <dataValidation sqref="J5:J200" showDropDown="0" showInputMessage="0" showErrorMessage="0" allowBlank="1" type="list">
      <formula1>"Gap capa media,Activo monitoreo SOX,Proceso/gobierno,SAP,ITSM,Otro"</formula1>
    </dataValidation>
    <dataValidation sqref="K5:K200" showDropDown="0" showInputMessage="0" showErrorMessage="0" allowBlank="1" type="list">
      <formula1>"S,M,L,XL"</formula1>
    </dataValidation>
    <dataValidation sqref="N5:N200" showDropDown="0" showInputMessage="0" showErrorMessage="0" allowBlank="1" type="list">
      <formula1>"Abierto,En análisis,Planificado,Cerrado"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5AA6"/>
    <outlinePr summaryBelow="1" summaryRight="1"/>
    <pageSetUpPr/>
  </sheetPr>
  <dimension ref="A1:K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50" customWidth="1" min="3" max="3"/>
    <col width="14" customWidth="1" min="4" max="4"/>
    <col width="10" customWidth="1" min="5" max="5"/>
    <col width="11" customWidth="1" min="6" max="6"/>
    <col width="10" customWidth="1" min="7" max="7"/>
    <col width="45" customWidth="1" min="8" max="8"/>
    <col width="16" customWidth="1" min="9" max="9"/>
    <col width="13" customWidth="1" min="10" max="10"/>
    <col width="12" customWidth="1" min="11" max="11"/>
  </cols>
  <sheetData>
    <row r="1">
      <c r="A1" s="1" t="inlineStr">
        <is>
          <t>Riesgos, dependencias e impacto sobre IFRS17 y TraMos</t>
        </is>
      </c>
    </row>
    <row r="2" ht="32" customHeight="1">
      <c r="A2" s="12" t="inlineStr">
        <is>
          <t>Riesgos iniciales sugeridos a partir de las premisas de la propuesta. Ajuste valores y agregue los que surjan.</t>
        </is>
      </c>
    </row>
    <row r="4" ht="34" customHeight="1">
      <c r="A4" s="13" t="inlineStr">
        <is>
          <t>ID</t>
        </is>
      </c>
      <c r="B4" s="13" t="inlineStr">
        <is>
          <t>Tipo</t>
        </is>
      </c>
      <c r="C4" s="13" t="inlineStr">
        <is>
          <t>Descripción</t>
        </is>
      </c>
      <c r="D4" s="13" t="inlineStr">
        <is>
          <t>Proyecto afectado</t>
        </is>
      </c>
      <c r="E4" s="13" t="inlineStr">
        <is>
          <t>Impacto (1-3)</t>
        </is>
      </c>
      <c r="F4" s="13" t="inlineStr">
        <is>
          <t>Probabilidad (1-3)</t>
        </is>
      </c>
      <c r="G4" s="13" t="inlineStr">
        <is>
          <t>Nivel</t>
        </is>
      </c>
      <c r="H4" s="13" t="inlineStr">
        <is>
          <t>Mitigación / plan</t>
        </is>
      </c>
      <c r="I4" s="13" t="inlineStr">
        <is>
          <t>Responsable</t>
        </is>
      </c>
      <c r="J4" s="13" t="inlineStr">
        <is>
          <t>Fecha compromiso</t>
        </is>
      </c>
      <c r="K4" s="13" t="inlineStr">
        <is>
          <t>Estado</t>
        </is>
      </c>
    </row>
    <row r="5">
      <c r="A5" s="15" t="inlineStr">
        <is>
          <t>R-01</t>
        </is>
      </c>
      <c r="B5" s="15" t="inlineStr">
        <is>
          <t>Dependencia</t>
        </is>
      </c>
      <c r="C5" s="15" t="inlineStr">
        <is>
          <t>Disponibilidad de entornos dev/lab/prod y comunicaciones con plataformas (premisa SURA)</t>
        </is>
      </c>
      <c r="D5" s="15" t="inlineStr">
        <is>
          <t>Ambos</t>
        </is>
      </c>
      <c r="E5" s="15" t="n">
        <v>3</v>
      </c>
      <c r="F5" s="15" t="n">
        <v>2</v>
      </c>
      <c r="G5" s="24">
        <f>IF(OR(E5="",F5=""),"",IF(E5*F5&gt;=6,"Alto",IF(E5*F5&gt;=3,"Medio","Bajo")))</f>
        <v/>
      </c>
      <c r="H5" s="15" t="inlineStr">
        <is>
          <t>Solicitar en kickoff con fecha compromiso; escalar en comité táctico</t>
        </is>
      </c>
      <c r="I5" s="15" t="inlineStr"/>
      <c r="J5" s="16" t="inlineStr"/>
      <c r="K5" s="15" t="inlineStr">
        <is>
          <t>Abierto</t>
        </is>
      </c>
    </row>
    <row r="6">
      <c r="A6" s="15" t="inlineStr">
        <is>
          <t>R-02</t>
        </is>
      </c>
      <c r="B6" s="15" t="inlineStr">
        <is>
          <t>Dependencia</t>
        </is>
      </c>
      <c r="C6" s="15" t="inlineStr">
        <is>
          <t>Acompañamiento de arquitectura y equipos IFRS17 y TraMos</t>
        </is>
      </c>
      <c r="D6" s="15" t="inlineStr">
        <is>
          <t>Ambos</t>
        </is>
      </c>
      <c r="E6" s="15" t="n">
        <v>3</v>
      </c>
      <c r="F6" s="15" t="n">
        <v>2</v>
      </c>
      <c r="G6" s="24">
        <f>IF(OR(E6="",F6=""),"",IF(E6*F6&gt;=6,"Alto",IF(E6*F6&gt;=3,"Medio","Bajo")))</f>
        <v/>
      </c>
      <c r="H6" s="15" t="inlineStr">
        <is>
          <t>Agendar entrevistas en Sprint 1 y acordar disponibilidad semanal</t>
        </is>
      </c>
      <c r="I6" s="15" t="inlineStr"/>
      <c r="J6" s="16" t="inlineStr"/>
      <c r="K6" s="15" t="inlineStr">
        <is>
          <t>Abierto</t>
        </is>
      </c>
    </row>
    <row r="7">
      <c r="A7" s="15" t="inlineStr">
        <is>
          <t>R-03</t>
        </is>
      </c>
      <c r="B7" s="15" t="inlineStr">
        <is>
          <t>Riesgo</t>
        </is>
      </c>
      <c r="C7" s="15" t="inlineStr">
        <is>
          <t>Definición del control SOX incompleta o cambiante durante el assessment</t>
        </is>
      </c>
      <c r="D7" s="15" t="inlineStr">
        <is>
          <t>Ambos</t>
        </is>
      </c>
      <c r="E7" s="15" t="n">
        <v>3</v>
      </c>
      <c r="F7" s="15" t="n">
        <v>2</v>
      </c>
      <c r="G7" s="24">
        <f>IF(OR(E7="",F7=""),"",IF(E7*F7&gt;=6,"Alto",IF(E7*F7&gt;=3,"Medio","Bajo")))</f>
        <v/>
      </c>
      <c r="H7" s="15" t="inlineStr">
        <is>
          <t>Validar narrativa/RCM con el dueño del control al inicio y congelar alcance</t>
        </is>
      </c>
      <c r="I7" s="15" t="inlineStr"/>
      <c r="J7" s="16" t="inlineStr"/>
      <c r="K7" s="15" t="inlineStr">
        <is>
          <t>Abierto</t>
        </is>
      </c>
    </row>
    <row r="8">
      <c r="A8" s="15" t="inlineStr">
        <is>
          <t>R-04</t>
        </is>
      </c>
      <c r="B8" s="15" t="inlineStr">
        <is>
          <t>Riesgo</t>
        </is>
      </c>
      <c r="C8" s="15" t="inlineStr">
        <is>
          <t>Enriquecimiento de trazas impacta el cronograma de los proyectos en curso</t>
        </is>
      </c>
      <c r="D8" s="15" t="inlineStr">
        <is>
          <t>Ambos</t>
        </is>
      </c>
      <c r="E8" s="15" t="n">
        <v>2</v>
      </c>
      <c r="F8" s="15" t="n">
        <v>2</v>
      </c>
      <c r="G8" s="24">
        <f>IF(OR(E8="",F8=""),"",IF(E8*F8&gt;=6,"Alto",IF(E8*F8&gt;=3,"Medio","Bajo")))</f>
        <v/>
      </c>
      <c r="H8" s="15" t="inlineStr">
        <is>
          <t>Priorizar gaps de bajo impacto; incluir cambios en el backlog de cada proyecto</t>
        </is>
      </c>
      <c r="I8" s="15" t="inlineStr"/>
      <c r="J8" s="16" t="inlineStr"/>
      <c r="K8" s="15" t="inlineStr">
        <is>
          <t>Abierto</t>
        </is>
      </c>
    </row>
    <row r="9">
      <c r="A9" s="15" t="inlineStr">
        <is>
          <t>R-05</t>
        </is>
      </c>
      <c r="B9" s="15" t="inlineStr">
        <is>
          <t>Riesgo</t>
        </is>
      </c>
      <c r="C9" s="15" t="inlineStr">
        <is>
          <t>Restricciones para enviar logs con datos sensibles al LLM</t>
        </is>
      </c>
      <c r="D9" s="15" t="inlineStr">
        <is>
          <t>Ambos</t>
        </is>
      </c>
      <c r="E9" s="15" t="n">
        <v>3</v>
      </c>
      <c r="F9" s="15" t="n">
        <v>2</v>
      </c>
      <c r="G9" s="24">
        <f>IF(OR(E9="",F9=""),"",IF(E9*F9&gt;=6,"Alto",IF(E9*F9&gt;=3,"Medio","Bajo")))</f>
        <v/>
      </c>
      <c r="H9" s="15" t="inlineStr">
        <is>
          <t>Validar con seguridad; enmascaramiento/anonimización en el diseño</t>
        </is>
      </c>
      <c r="I9" s="15" t="inlineStr"/>
      <c r="J9" s="16" t="inlineStr"/>
      <c r="K9" s="15" t="inlineStr">
        <is>
          <t>Abierto</t>
        </is>
      </c>
    </row>
    <row r="10">
      <c r="A10" s="15" t="inlineStr">
        <is>
          <t>R-06</t>
        </is>
      </c>
      <c r="B10" s="15" t="inlineStr">
        <is>
          <t>Dependencia</t>
        </is>
      </c>
      <c r="C10" s="15" t="inlineStr">
        <is>
          <t>Disponibilidad de datos de prueba (responsabilidad SURA)</t>
        </is>
      </c>
      <c r="D10" s="15" t="inlineStr">
        <is>
          <t>Ambos</t>
        </is>
      </c>
      <c r="E10" s="15" t="n">
        <v>2</v>
      </c>
      <c r="F10" s="15" t="n">
        <v>2</v>
      </c>
      <c r="G10" s="24">
        <f>IF(OR(E10="",F10=""),"",IF(E10*F10&gt;=6,"Alto",IF(E10*F10&gt;=3,"Medio","Bajo")))</f>
        <v/>
      </c>
      <c r="H10" s="15" t="inlineStr">
        <is>
          <t>Definir necesidades de datos en Sprint 2 con líderes técnicos</t>
        </is>
      </c>
      <c r="I10" s="15" t="inlineStr"/>
      <c r="J10" s="16" t="inlineStr"/>
      <c r="K10" s="15" t="inlineStr">
        <is>
          <t>Abierto</t>
        </is>
      </c>
    </row>
    <row r="11">
      <c r="A11" s="15" t="inlineStr">
        <is>
          <t>R-07</t>
        </is>
      </c>
      <c r="B11" s="15" t="inlineStr">
        <is>
          <t>Riesgo</t>
        </is>
      </c>
      <c r="C11" s="15" t="inlineStr">
        <is>
          <t>SAP (ECC/S4) no expone confirmación de recepción consultable</t>
        </is>
      </c>
      <c r="D11" s="15" t="inlineStr">
        <is>
          <t>Ambos</t>
        </is>
      </c>
      <c r="E11" s="15" t="n">
        <v>2</v>
      </c>
      <c r="F11" s="15" t="n">
        <v>2</v>
      </c>
      <c r="G11" s="24">
        <f>IF(OR(E11="",F11=""),"",IF(E11*F11&gt;=6,"Alto",IF(E11*F11&gt;=3,"Medio","Bajo")))</f>
        <v/>
      </c>
      <c r="H11" s="15" t="inlineStr">
        <is>
          <t>Revisar con equipo SAP alternativas (IDoc status, logs de aplicación, APIs)</t>
        </is>
      </c>
      <c r="I11" s="15" t="inlineStr"/>
      <c r="J11" s="16" t="inlineStr"/>
      <c r="K11" s="15" t="inlineStr">
        <is>
          <t>Abierto</t>
        </is>
      </c>
    </row>
    <row r="12">
      <c r="A12" s="15" t="n"/>
      <c r="B12" s="15" t="n"/>
      <c r="C12" s="15" t="n"/>
      <c r="D12" s="15" t="n"/>
      <c r="E12" s="15" t="n"/>
      <c r="F12" s="15" t="n"/>
      <c r="G12" s="24">
        <f>IF(OR(E12="",F12=""),"",IF(E12*F12&gt;=6,"Alto",IF(E12*F12&gt;=3,"Medio","Bajo")))</f>
        <v/>
      </c>
      <c r="H12" s="15" t="n"/>
      <c r="I12" s="15" t="n"/>
      <c r="J12" s="16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24">
        <f>IF(OR(E13="",F13=""),"",IF(E13*F13&gt;=6,"Alto",IF(E13*F13&gt;=3,"Medio","Bajo")))</f>
        <v/>
      </c>
      <c r="H13" s="15" t="n"/>
      <c r="I13" s="15" t="n"/>
      <c r="J13" s="16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24">
        <f>IF(OR(E14="",F14=""),"",IF(E14*F14&gt;=6,"Alto",IF(E14*F14&gt;=3,"Medio","Bajo")))</f>
        <v/>
      </c>
      <c r="H14" s="15" t="n"/>
      <c r="I14" s="15" t="n"/>
      <c r="J14" s="16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24">
        <f>IF(OR(E15="",F15=""),"",IF(E15*F15&gt;=6,"Alto",IF(E15*F15&gt;=3,"Medio","Bajo")))</f>
        <v/>
      </c>
      <c r="H15" s="15" t="n"/>
      <c r="I15" s="15" t="n"/>
      <c r="J15" s="16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24">
        <f>IF(OR(E16="",F16=""),"",IF(E16*F16&gt;=6,"Alto",IF(E16*F16&gt;=3,"Medio","Bajo")))</f>
        <v/>
      </c>
      <c r="H16" s="15" t="n"/>
      <c r="I16" s="15" t="n"/>
      <c r="J16" s="16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24">
        <f>IF(OR(E17="",F17=""),"",IF(E17*F17&gt;=6,"Alto",IF(E17*F17&gt;=3,"Medio","Bajo")))</f>
        <v/>
      </c>
      <c r="H17" s="15" t="n"/>
      <c r="I17" s="15" t="n"/>
      <c r="J17" s="16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24">
        <f>IF(OR(E18="",F18=""),"",IF(E18*F18&gt;=6,"Alto",IF(E18*F18&gt;=3,"Medio","Bajo")))</f>
        <v/>
      </c>
      <c r="H18" s="15" t="n"/>
      <c r="I18" s="15" t="n"/>
      <c r="J18" s="16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24">
        <f>IF(OR(E19="",F19=""),"",IF(E19*F19&gt;=6,"Alto",IF(E19*F19&gt;=3,"Medio","Bajo")))</f>
        <v/>
      </c>
      <c r="H19" s="15" t="n"/>
      <c r="I19" s="15" t="n"/>
      <c r="J19" s="16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24">
        <f>IF(OR(E20="",F20=""),"",IF(E20*F20&gt;=6,"Alto",IF(E20*F20&gt;=3,"Medio","Bajo")))</f>
        <v/>
      </c>
      <c r="H20" s="15" t="n"/>
      <c r="I20" s="15" t="n"/>
      <c r="J20" s="16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24">
        <f>IF(OR(E21="",F21=""),"",IF(E21*F21&gt;=6,"Alto",IF(E21*F21&gt;=3,"Medio","Bajo")))</f>
        <v/>
      </c>
      <c r="H21" s="15" t="n"/>
      <c r="I21" s="15" t="n"/>
      <c r="J21" s="16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24">
        <f>IF(OR(E22="",F22=""),"",IF(E22*F22&gt;=6,"Alto",IF(E22*F22&gt;=3,"Medio","Bajo")))</f>
        <v/>
      </c>
      <c r="H22" s="15" t="n"/>
      <c r="I22" s="15" t="n"/>
      <c r="J22" s="16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24">
        <f>IF(OR(E23="",F23=""),"",IF(E23*F23&gt;=6,"Alto",IF(E23*F23&gt;=3,"Medio","Bajo")))</f>
        <v/>
      </c>
      <c r="H23" s="15" t="n"/>
      <c r="I23" s="15" t="n"/>
      <c r="J23" s="16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24">
        <f>IF(OR(E24="",F24=""),"",IF(E24*F24&gt;=6,"Alto",IF(E24*F24&gt;=3,"Medio","Bajo")))</f>
        <v/>
      </c>
      <c r="H24" s="15" t="n"/>
      <c r="I24" s="15" t="n"/>
      <c r="J24" s="16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24">
        <f>IF(OR(E25="",F25=""),"",IF(E25*F25&gt;=6,"Alto",IF(E25*F25&gt;=3,"Medio","Bajo")))</f>
        <v/>
      </c>
      <c r="H25" s="15" t="n"/>
      <c r="I25" s="15" t="n"/>
      <c r="J25" s="16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24">
        <f>IF(OR(E26="",F26=""),"",IF(E26*F26&gt;=6,"Alto",IF(E26*F26&gt;=3,"Medio","Bajo")))</f>
        <v/>
      </c>
      <c r="H26" s="15" t="n"/>
      <c r="I26" s="15" t="n"/>
      <c r="J26" s="16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24">
        <f>IF(OR(E27="",F27=""),"",IF(E27*F27&gt;=6,"Alto",IF(E27*F27&gt;=3,"Medio","Bajo")))</f>
        <v/>
      </c>
      <c r="H27" s="15" t="n"/>
      <c r="I27" s="15" t="n"/>
      <c r="J27" s="16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24">
        <f>IF(OR(E28="",F28=""),"",IF(E28*F28&gt;=6,"Alto",IF(E28*F28&gt;=3,"Medio","Bajo")))</f>
        <v/>
      </c>
      <c r="H28" s="15" t="n"/>
      <c r="I28" s="15" t="n"/>
      <c r="J28" s="16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24">
        <f>IF(OR(E29="",F29=""),"",IF(E29*F29&gt;=6,"Alto",IF(E29*F29&gt;=3,"Medio","Bajo")))</f>
        <v/>
      </c>
      <c r="H29" s="15" t="n"/>
      <c r="I29" s="15" t="n"/>
      <c r="J29" s="16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24">
        <f>IF(OR(E30="",F30=""),"",IF(E30*F30&gt;=6,"Alto",IF(E30*F30&gt;=3,"Medio","Bajo")))</f>
        <v/>
      </c>
      <c r="H30" s="15" t="n"/>
      <c r="I30" s="15" t="n"/>
      <c r="J30" s="16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24">
        <f>IF(OR(E31="",F31=""),"",IF(E31*F31&gt;=6,"Alto",IF(E31*F31&gt;=3,"Medio","Bajo")))</f>
        <v/>
      </c>
      <c r="H31" s="15" t="n"/>
      <c r="I31" s="15" t="n"/>
      <c r="J31" s="16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24">
        <f>IF(OR(E32="",F32=""),"",IF(E32*F32&gt;=6,"Alto",IF(E32*F32&gt;=3,"Medio","Bajo")))</f>
        <v/>
      </c>
      <c r="H32" s="15" t="n"/>
      <c r="I32" s="15" t="n"/>
      <c r="J32" s="16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24">
        <f>IF(OR(E33="",F33=""),"",IF(E33*F33&gt;=6,"Alto",IF(E33*F33&gt;=3,"Medio","Bajo")))</f>
        <v/>
      </c>
      <c r="H33" s="15" t="n"/>
      <c r="I33" s="15" t="n"/>
      <c r="J33" s="16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24">
        <f>IF(OR(E34="",F34=""),"",IF(E34*F34&gt;=6,"Alto",IF(E34*F34&gt;=3,"Medio","Bajo")))</f>
        <v/>
      </c>
      <c r="H34" s="15" t="n"/>
      <c r="I34" s="15" t="n"/>
      <c r="J34" s="16" t="n"/>
      <c r="K34" s="15" t="n"/>
    </row>
  </sheetData>
  <mergeCells count="1">
    <mergeCell ref="A2:K2"/>
  </mergeCells>
  <conditionalFormatting sqref="G5:G34">
    <cfRule type="cellIs" priority="1" operator="equal" dxfId="1">
      <formula>"Alto"</formula>
    </cfRule>
    <cfRule type="cellIs" priority="2" operator="equal" dxfId="2">
      <formula>"Medio"</formula>
    </cfRule>
  </conditionalFormatting>
  <dataValidations count="4">
    <dataValidation sqref="B5:B200" showDropDown="0" showInputMessage="0" showErrorMessage="0" allowBlank="1" type="list">
      <formula1>"Riesgo,Dependencia,Issue,Supuesto"</formula1>
    </dataValidation>
    <dataValidation sqref="D5:D200" showDropDown="0" showInputMessage="0" showErrorMessage="0" allowBlank="1" type="list">
      <formula1>"IFRS17,TraMos,Ambos,Activo SOX"</formula1>
    </dataValidation>
    <dataValidation sqref="E5:F200" showDropDown="0" showInputMessage="0" showErrorMessage="0" allowBlank="1" type="list">
      <formula1>"1,2,3"</formula1>
    </dataValidation>
    <dataValidation sqref="K5:K200" showDropDown="0" showInputMessage="0" showErrorMessage="0" allowBlank="1" type="list">
      <formula1>"Abierto,Mitigado,Cerrado,Materializado"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2026-10-05T17:37:57Z</dcterms:created>
  <dcterms:modified xsi:type="dcterms:W3CDTF">2026-10-05T17:37:58Z</dcterms:modified>
</cp:coreProperties>
</file>